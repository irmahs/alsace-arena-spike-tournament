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8701c39e2de643/Documents/"/>
    </mc:Choice>
  </mc:AlternateContent>
  <xr:revisionPtr revIDLastSave="4005" documentId="8_{06BF7DD9-3B1D-4DA8-BD62-A3122DCA412D}" xr6:coauthVersionLast="47" xr6:coauthVersionMax="47" xr10:uidLastSave="{E37FB1F1-CB3E-5449-9C22-25268D984BB4}"/>
  <bookViews>
    <workbookView xWindow="0" yWindow="500" windowWidth="35840" windowHeight="20240" xr2:uid="{61E6EC62-EB45-4E58-8A84-65B1CA2F4F60}"/>
  </bookViews>
  <sheets>
    <sheet name="Leaderboard" sheetId="1" r:id="rId1"/>
    <sheet name="Data" sheetId="2" r:id="rId2"/>
    <sheet name="List" sheetId="3" r:id="rId3"/>
  </sheets>
  <definedNames>
    <definedName name="ACS">Data!$C:$C</definedName>
    <definedName name="Assists">Data!$F:$F</definedName>
    <definedName name="BonusAssist">Data!$M:$M</definedName>
    <definedName name="BonusDeath">Data!$L:$L</definedName>
    <definedName name="BonusDefuse">Data!$P:$P</definedName>
    <definedName name="BonusFB">Data!$N:$N</definedName>
    <definedName name="BonusPlant">Data!$O:$O</definedName>
    <definedName name="Deaths">Data!$E:$E</definedName>
    <definedName name="Defuses">Data!$J:$J</definedName>
    <definedName name="Econ">Data!$G:$G</definedName>
    <definedName name="FBs">Data!$H:$H</definedName>
    <definedName name="Games">Data!$A:$A</definedName>
    <definedName name="Kills">Data!$D:$D</definedName>
    <definedName name="Leaderboard">Table3[#All]</definedName>
    <definedName name="PeakRank">List!$B:$B</definedName>
    <definedName name="Plants">Data!$I:$I</definedName>
    <definedName name="Players">List!$A:$A</definedName>
    <definedName name="Playing">Data!$B:$B</definedName>
    <definedName name="Wins">Data!$K:$K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3" i="2" l="1"/>
  <c r="N175" i="2"/>
  <c r="N172" i="2"/>
  <c r="M172" i="2"/>
  <c r="L172" i="2"/>
  <c r="M175" i="2"/>
  <c r="L183" i="2"/>
  <c r="L184" i="2"/>
  <c r="L185" i="2"/>
  <c r="L186" i="2"/>
  <c r="L187" i="2"/>
  <c r="L188" i="2"/>
  <c r="L189" i="2"/>
  <c r="L190" i="2"/>
  <c r="L191" i="2"/>
  <c r="L182" i="2"/>
  <c r="L193" i="2"/>
  <c r="L194" i="2"/>
  <c r="L195" i="2"/>
  <c r="L196" i="2"/>
  <c r="L197" i="2"/>
  <c r="L198" i="2"/>
  <c r="L199" i="2"/>
  <c r="L200" i="2"/>
  <c r="L201" i="2"/>
  <c r="L192" i="2"/>
  <c r="L203" i="2"/>
  <c r="L204" i="2"/>
  <c r="L205" i="2"/>
  <c r="L206" i="2"/>
  <c r="L207" i="2"/>
  <c r="L208" i="2"/>
  <c r="L209" i="2"/>
  <c r="L210" i="2"/>
  <c r="L211" i="2"/>
  <c r="L202" i="2"/>
  <c r="L213" i="2"/>
  <c r="L214" i="2"/>
  <c r="L215" i="2"/>
  <c r="L216" i="2"/>
  <c r="L217" i="2"/>
  <c r="L218" i="2"/>
  <c r="L219" i="2"/>
  <c r="L220" i="2"/>
  <c r="L221" i="2"/>
  <c r="L212" i="2"/>
  <c r="L223" i="2"/>
  <c r="L224" i="2"/>
  <c r="L225" i="2"/>
  <c r="L226" i="2"/>
  <c r="L227" i="2"/>
  <c r="L228" i="2"/>
  <c r="L229" i="2"/>
  <c r="L230" i="2"/>
  <c r="L231" i="2"/>
  <c r="L222" i="2"/>
  <c r="L241" i="2"/>
  <c r="L235" i="2"/>
  <c r="L233" i="2"/>
  <c r="L232" i="2"/>
  <c r="L234" i="2"/>
  <c r="K22" i="1"/>
  <c r="J22" i="1" a="1"/>
  <c r="J22" i="1" s="1"/>
  <c r="I22" i="1"/>
  <c r="H22" i="1"/>
  <c r="G22" i="1" a="1"/>
  <c r="G22" i="1" s="1"/>
  <c r="F22" i="1"/>
  <c r="E22" i="1"/>
  <c r="D22" i="1"/>
  <c r="C22" i="1"/>
  <c r="B22" i="1"/>
  <c r="K12" i="1"/>
  <c r="J12" i="1" a="1"/>
  <c r="J12" i="1" s="1"/>
  <c r="I12" i="1"/>
  <c r="H12" i="1"/>
  <c r="G12" i="1" a="1"/>
  <c r="G12" i="1" s="1"/>
  <c r="F12" i="1"/>
  <c r="E12" i="1"/>
  <c r="D12" i="1"/>
  <c r="C12" i="1"/>
  <c r="B12" i="1"/>
  <c r="K17" i="1"/>
  <c r="J17" i="1" a="1"/>
  <c r="J17" i="1" s="1"/>
  <c r="I17" i="1"/>
  <c r="H17" i="1"/>
  <c r="G17" i="1" a="1"/>
  <c r="G17" i="1" s="1"/>
  <c r="F17" i="1"/>
  <c r="E17" i="1"/>
  <c r="D17" i="1"/>
  <c r="C17" i="1"/>
  <c r="B17" i="1"/>
  <c r="K21" i="1"/>
  <c r="J21" i="1" a="1"/>
  <c r="J21" i="1" s="1"/>
  <c r="I21" i="1"/>
  <c r="H21" i="1"/>
  <c r="G21" i="1" a="1"/>
  <c r="G21" i="1" s="1"/>
  <c r="F21" i="1"/>
  <c r="E21" i="1"/>
  <c r="D21" i="1"/>
  <c r="C21" i="1"/>
  <c r="B21" i="1"/>
  <c r="B19" i="1"/>
  <c r="C19" i="1"/>
  <c r="D19" i="1"/>
  <c r="E19" i="1"/>
  <c r="F19" i="1"/>
  <c r="G19" i="1" a="1"/>
  <c r="G19" i="1" s="1"/>
  <c r="H19" i="1"/>
  <c r="I19" i="1"/>
  <c r="J19" i="1" a="1"/>
  <c r="J19" i="1" s="1"/>
  <c r="B20" i="1"/>
  <c r="C20" i="1"/>
  <c r="D20" i="1"/>
  <c r="E20" i="1"/>
  <c r="F20" i="1"/>
  <c r="G20" i="1" a="1"/>
  <c r="G20" i="1" s="1"/>
  <c r="H20" i="1"/>
  <c r="I20" i="1"/>
  <c r="J20" i="1" a="1"/>
  <c r="J20" i="1" s="1"/>
  <c r="K20" i="1"/>
  <c r="B23" i="1"/>
  <c r="C23" i="1"/>
  <c r="D23" i="1"/>
  <c r="E23" i="1"/>
  <c r="F23" i="1"/>
  <c r="G23" i="1" a="1"/>
  <c r="G23" i="1" s="1"/>
  <c r="H23" i="1"/>
  <c r="I23" i="1"/>
  <c r="J23" i="1" a="1"/>
  <c r="J23" i="1" s="1"/>
  <c r="K23" i="1"/>
  <c r="K6" i="1"/>
  <c r="P163" i="2"/>
  <c r="P164" i="2"/>
  <c r="P165" i="2"/>
  <c r="P166" i="2"/>
  <c r="P167" i="2"/>
  <c r="P168" i="2"/>
  <c r="P169" i="2"/>
  <c r="P170" i="2"/>
  <c r="P171" i="2"/>
  <c r="P162" i="2"/>
  <c r="P152" i="2"/>
  <c r="L152" i="2"/>
  <c r="L162" i="2"/>
  <c r="L173" i="2"/>
  <c r="L174" i="2"/>
  <c r="L175" i="2"/>
  <c r="L176" i="2"/>
  <c r="L177" i="2"/>
  <c r="L178" i="2"/>
  <c r="L179" i="2"/>
  <c r="L180" i="2"/>
  <c r="L181" i="2"/>
  <c r="L163" i="2"/>
  <c r="L164" i="2"/>
  <c r="L165" i="2"/>
  <c r="L166" i="2"/>
  <c r="L167" i="2"/>
  <c r="L168" i="2"/>
  <c r="L169" i="2"/>
  <c r="L170" i="2"/>
  <c r="L171" i="2"/>
  <c r="L153" i="2"/>
  <c r="L154" i="2"/>
  <c r="L155" i="2"/>
  <c r="L156" i="2"/>
  <c r="L157" i="2"/>
  <c r="L158" i="2"/>
  <c r="L159" i="2"/>
  <c r="L160" i="2"/>
  <c r="L161" i="2"/>
  <c r="M233" i="2"/>
  <c r="N233" i="2"/>
  <c r="O233" i="2"/>
  <c r="P233" i="2"/>
  <c r="M234" i="2"/>
  <c r="N234" i="2"/>
  <c r="O234" i="2"/>
  <c r="P234" i="2"/>
  <c r="M235" i="2"/>
  <c r="N235" i="2"/>
  <c r="O235" i="2"/>
  <c r="P235" i="2"/>
  <c r="L236" i="2"/>
  <c r="M236" i="2"/>
  <c r="N236" i="2"/>
  <c r="O236" i="2"/>
  <c r="P236" i="2"/>
  <c r="L237" i="2"/>
  <c r="M237" i="2"/>
  <c r="N237" i="2"/>
  <c r="O237" i="2"/>
  <c r="P237" i="2"/>
  <c r="L238" i="2"/>
  <c r="M238" i="2"/>
  <c r="N238" i="2"/>
  <c r="O238" i="2"/>
  <c r="P238" i="2"/>
  <c r="L239" i="2"/>
  <c r="M239" i="2"/>
  <c r="N239" i="2"/>
  <c r="O239" i="2"/>
  <c r="P239" i="2"/>
  <c r="L240" i="2"/>
  <c r="M240" i="2"/>
  <c r="N240" i="2"/>
  <c r="O240" i="2"/>
  <c r="P240" i="2"/>
  <c r="M241" i="2"/>
  <c r="N241" i="2"/>
  <c r="O241" i="2"/>
  <c r="P241" i="2"/>
  <c r="P232" i="2"/>
  <c r="O232" i="2"/>
  <c r="N232" i="2"/>
  <c r="M232" i="2"/>
  <c r="M223" i="2"/>
  <c r="N223" i="2"/>
  <c r="O223" i="2"/>
  <c r="P223" i="2"/>
  <c r="M224" i="2"/>
  <c r="N224" i="2"/>
  <c r="O224" i="2"/>
  <c r="P224" i="2"/>
  <c r="M225" i="2"/>
  <c r="N225" i="2"/>
  <c r="O225" i="2"/>
  <c r="P225" i="2"/>
  <c r="M226" i="2"/>
  <c r="N226" i="2"/>
  <c r="O226" i="2"/>
  <c r="P226" i="2"/>
  <c r="M227" i="2"/>
  <c r="N227" i="2"/>
  <c r="O227" i="2"/>
  <c r="P227" i="2"/>
  <c r="M228" i="2"/>
  <c r="N228" i="2"/>
  <c r="O228" i="2"/>
  <c r="P228" i="2"/>
  <c r="M229" i="2"/>
  <c r="N229" i="2"/>
  <c r="O229" i="2"/>
  <c r="P229" i="2"/>
  <c r="M230" i="2"/>
  <c r="N230" i="2"/>
  <c r="O230" i="2"/>
  <c r="P230" i="2"/>
  <c r="M231" i="2"/>
  <c r="N231" i="2"/>
  <c r="O231" i="2"/>
  <c r="P231" i="2"/>
  <c r="P222" i="2"/>
  <c r="O222" i="2"/>
  <c r="N222" i="2"/>
  <c r="M222" i="2"/>
  <c r="M213" i="2"/>
  <c r="N213" i="2"/>
  <c r="O213" i="2"/>
  <c r="P213" i="2"/>
  <c r="M214" i="2"/>
  <c r="N214" i="2"/>
  <c r="O214" i="2"/>
  <c r="P214" i="2"/>
  <c r="M215" i="2"/>
  <c r="N215" i="2"/>
  <c r="O215" i="2"/>
  <c r="P215" i="2"/>
  <c r="M216" i="2"/>
  <c r="N216" i="2"/>
  <c r="O216" i="2"/>
  <c r="P216" i="2"/>
  <c r="M217" i="2"/>
  <c r="N217" i="2"/>
  <c r="O217" i="2"/>
  <c r="P217" i="2"/>
  <c r="M218" i="2"/>
  <c r="N218" i="2"/>
  <c r="O218" i="2"/>
  <c r="P218" i="2"/>
  <c r="M219" i="2"/>
  <c r="N219" i="2"/>
  <c r="O219" i="2"/>
  <c r="P219" i="2"/>
  <c r="M220" i="2"/>
  <c r="N220" i="2"/>
  <c r="O220" i="2"/>
  <c r="P220" i="2"/>
  <c r="M221" i="2"/>
  <c r="N221" i="2"/>
  <c r="O221" i="2"/>
  <c r="P221" i="2"/>
  <c r="P212" i="2"/>
  <c r="O212" i="2"/>
  <c r="N212" i="2"/>
  <c r="M212" i="2"/>
  <c r="M203" i="2"/>
  <c r="N203" i="2"/>
  <c r="O203" i="2"/>
  <c r="P203" i="2"/>
  <c r="M204" i="2"/>
  <c r="N204" i="2"/>
  <c r="O204" i="2"/>
  <c r="P204" i="2"/>
  <c r="M205" i="2"/>
  <c r="N205" i="2"/>
  <c r="O205" i="2"/>
  <c r="P205" i="2"/>
  <c r="M206" i="2"/>
  <c r="N206" i="2"/>
  <c r="O206" i="2"/>
  <c r="P206" i="2"/>
  <c r="M207" i="2"/>
  <c r="N207" i="2"/>
  <c r="O207" i="2"/>
  <c r="P207" i="2"/>
  <c r="M208" i="2"/>
  <c r="N208" i="2"/>
  <c r="O208" i="2"/>
  <c r="P208" i="2"/>
  <c r="M209" i="2"/>
  <c r="N209" i="2"/>
  <c r="O209" i="2"/>
  <c r="P209" i="2"/>
  <c r="M210" i="2"/>
  <c r="N210" i="2"/>
  <c r="O210" i="2"/>
  <c r="P210" i="2"/>
  <c r="M211" i="2"/>
  <c r="N211" i="2"/>
  <c r="O211" i="2"/>
  <c r="P211" i="2"/>
  <c r="P202" i="2"/>
  <c r="O202" i="2"/>
  <c r="N202" i="2"/>
  <c r="M202" i="2"/>
  <c r="M193" i="2"/>
  <c r="N193" i="2"/>
  <c r="O193" i="2"/>
  <c r="P193" i="2"/>
  <c r="M194" i="2"/>
  <c r="N194" i="2"/>
  <c r="O194" i="2"/>
  <c r="P194" i="2"/>
  <c r="M195" i="2"/>
  <c r="N195" i="2"/>
  <c r="O195" i="2"/>
  <c r="P195" i="2"/>
  <c r="M196" i="2"/>
  <c r="N196" i="2"/>
  <c r="O196" i="2"/>
  <c r="P196" i="2"/>
  <c r="M197" i="2"/>
  <c r="N197" i="2"/>
  <c r="O197" i="2"/>
  <c r="P197" i="2"/>
  <c r="M198" i="2"/>
  <c r="N198" i="2"/>
  <c r="O198" i="2"/>
  <c r="P198" i="2"/>
  <c r="M199" i="2"/>
  <c r="N199" i="2"/>
  <c r="O199" i="2"/>
  <c r="P199" i="2"/>
  <c r="M200" i="2"/>
  <c r="N200" i="2"/>
  <c r="O200" i="2"/>
  <c r="P200" i="2"/>
  <c r="M201" i="2"/>
  <c r="N201" i="2"/>
  <c r="O201" i="2"/>
  <c r="P201" i="2"/>
  <c r="P192" i="2"/>
  <c r="O192" i="2"/>
  <c r="N192" i="2"/>
  <c r="M192" i="2"/>
  <c r="M183" i="2"/>
  <c r="N183" i="2"/>
  <c r="O183" i="2"/>
  <c r="P183" i="2"/>
  <c r="M184" i="2"/>
  <c r="N184" i="2"/>
  <c r="O184" i="2"/>
  <c r="P184" i="2"/>
  <c r="M185" i="2"/>
  <c r="N185" i="2"/>
  <c r="O185" i="2"/>
  <c r="P185" i="2"/>
  <c r="M186" i="2"/>
  <c r="N186" i="2"/>
  <c r="O186" i="2"/>
  <c r="P186" i="2"/>
  <c r="M187" i="2"/>
  <c r="N187" i="2"/>
  <c r="O187" i="2"/>
  <c r="P187" i="2"/>
  <c r="M188" i="2"/>
  <c r="N188" i="2"/>
  <c r="O188" i="2"/>
  <c r="P188" i="2"/>
  <c r="M189" i="2"/>
  <c r="N189" i="2"/>
  <c r="O189" i="2"/>
  <c r="P189" i="2"/>
  <c r="M190" i="2"/>
  <c r="N190" i="2"/>
  <c r="O190" i="2"/>
  <c r="P190" i="2"/>
  <c r="M191" i="2"/>
  <c r="N191" i="2"/>
  <c r="O191" i="2"/>
  <c r="P191" i="2"/>
  <c r="P182" i="2"/>
  <c r="O182" i="2"/>
  <c r="N182" i="2"/>
  <c r="M182" i="2"/>
  <c r="M173" i="2"/>
  <c r="N173" i="2"/>
  <c r="P173" i="2"/>
  <c r="M174" i="2"/>
  <c r="N174" i="2"/>
  <c r="O174" i="2"/>
  <c r="P174" i="2"/>
  <c r="O175" i="2"/>
  <c r="P175" i="2"/>
  <c r="M176" i="2"/>
  <c r="N176" i="2"/>
  <c r="O176" i="2"/>
  <c r="P176" i="2"/>
  <c r="M177" i="2"/>
  <c r="N177" i="2"/>
  <c r="O177" i="2"/>
  <c r="P177" i="2"/>
  <c r="M178" i="2"/>
  <c r="N178" i="2"/>
  <c r="O178" i="2"/>
  <c r="P178" i="2"/>
  <c r="M179" i="2"/>
  <c r="N179" i="2"/>
  <c r="O179" i="2"/>
  <c r="P179" i="2"/>
  <c r="M180" i="2"/>
  <c r="N180" i="2"/>
  <c r="O180" i="2"/>
  <c r="P180" i="2"/>
  <c r="M181" i="2"/>
  <c r="N181" i="2"/>
  <c r="O181" i="2"/>
  <c r="P181" i="2"/>
  <c r="P172" i="2"/>
  <c r="O172" i="2"/>
  <c r="M163" i="2"/>
  <c r="N163" i="2"/>
  <c r="O163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/>
  <c r="O168" i="2"/>
  <c r="M169" i="2"/>
  <c r="N169" i="2"/>
  <c r="O169" i="2"/>
  <c r="M170" i="2"/>
  <c r="N170" i="2"/>
  <c r="O170" i="2"/>
  <c r="M171" i="2"/>
  <c r="N171" i="2"/>
  <c r="O171" i="2"/>
  <c r="O162" i="2"/>
  <c r="N162" i="2"/>
  <c r="M162" i="2"/>
  <c r="M153" i="2"/>
  <c r="N153" i="2"/>
  <c r="O153" i="2"/>
  <c r="P153" i="2"/>
  <c r="M154" i="2"/>
  <c r="N154" i="2"/>
  <c r="O154" i="2"/>
  <c r="P154" i="2"/>
  <c r="M155" i="2"/>
  <c r="N155" i="2"/>
  <c r="O155" i="2"/>
  <c r="P155" i="2"/>
  <c r="M156" i="2"/>
  <c r="N156" i="2"/>
  <c r="O156" i="2"/>
  <c r="P156" i="2"/>
  <c r="M157" i="2"/>
  <c r="N157" i="2"/>
  <c r="O157" i="2"/>
  <c r="P157" i="2"/>
  <c r="M158" i="2"/>
  <c r="N158" i="2"/>
  <c r="O158" i="2"/>
  <c r="P158" i="2"/>
  <c r="M159" i="2"/>
  <c r="N159" i="2"/>
  <c r="O159" i="2"/>
  <c r="P159" i="2"/>
  <c r="M160" i="2"/>
  <c r="N160" i="2"/>
  <c r="O160" i="2"/>
  <c r="P160" i="2"/>
  <c r="M161" i="2"/>
  <c r="N161" i="2"/>
  <c r="O161" i="2"/>
  <c r="P161" i="2"/>
  <c r="O152" i="2"/>
  <c r="N152" i="2"/>
  <c r="M152" i="2"/>
  <c r="L112" i="2"/>
  <c r="L113" i="2"/>
  <c r="L114" i="2"/>
  <c r="L115" i="2"/>
  <c r="L116" i="2"/>
  <c r="L117" i="2"/>
  <c r="L118" i="2"/>
  <c r="L119" i="2"/>
  <c r="L120" i="2"/>
  <c r="L121" i="2"/>
  <c r="L2" i="2"/>
  <c r="L3" i="2"/>
  <c r="L4" i="2"/>
  <c r="K24" i="1"/>
  <c r="L5" i="2"/>
  <c r="L6" i="2"/>
  <c r="L7" i="2"/>
  <c r="L8" i="2"/>
  <c r="L9" i="2"/>
  <c r="L10" i="2"/>
  <c r="L11" i="2"/>
  <c r="L65" i="2"/>
  <c r="L123" i="2"/>
  <c r="M123" i="2"/>
  <c r="N123" i="2"/>
  <c r="O123" i="2"/>
  <c r="P123" i="2"/>
  <c r="L124" i="2"/>
  <c r="M124" i="2"/>
  <c r="N124" i="2"/>
  <c r="O124" i="2"/>
  <c r="P124" i="2"/>
  <c r="L125" i="2"/>
  <c r="M125" i="2"/>
  <c r="N125" i="2"/>
  <c r="O125" i="2"/>
  <c r="P125" i="2"/>
  <c r="L126" i="2"/>
  <c r="M126" i="2"/>
  <c r="N126" i="2"/>
  <c r="O126" i="2"/>
  <c r="P126" i="2"/>
  <c r="L127" i="2"/>
  <c r="M127" i="2"/>
  <c r="N127" i="2"/>
  <c r="O127" i="2"/>
  <c r="P127" i="2"/>
  <c r="L128" i="2"/>
  <c r="M128" i="2"/>
  <c r="K27" i="1"/>
  <c r="N128" i="2"/>
  <c r="O128" i="2"/>
  <c r="P128" i="2"/>
  <c r="L129" i="2"/>
  <c r="M129" i="2"/>
  <c r="N129" i="2"/>
  <c r="O129" i="2"/>
  <c r="P129" i="2"/>
  <c r="L130" i="2"/>
  <c r="M130" i="2"/>
  <c r="N130" i="2"/>
  <c r="O130" i="2"/>
  <c r="P130" i="2"/>
  <c r="L131" i="2"/>
  <c r="M131" i="2"/>
  <c r="N131" i="2"/>
  <c r="O131" i="2"/>
  <c r="P131" i="2"/>
  <c r="L133" i="2"/>
  <c r="M133" i="2"/>
  <c r="N133" i="2"/>
  <c r="O133" i="2"/>
  <c r="P133" i="2"/>
  <c r="L134" i="2"/>
  <c r="M134" i="2"/>
  <c r="K25" i="1"/>
  <c r="N134" i="2"/>
  <c r="O134" i="2"/>
  <c r="P134" i="2"/>
  <c r="L135" i="2"/>
  <c r="M135" i="2"/>
  <c r="N135" i="2"/>
  <c r="O135" i="2"/>
  <c r="P135" i="2"/>
  <c r="L136" i="2"/>
  <c r="M136" i="2"/>
  <c r="N136" i="2"/>
  <c r="O136" i="2"/>
  <c r="P136" i="2"/>
  <c r="L137" i="2"/>
  <c r="M137" i="2"/>
  <c r="N137" i="2"/>
  <c r="O137" i="2"/>
  <c r="P137" i="2"/>
  <c r="L138" i="2"/>
  <c r="M138" i="2"/>
  <c r="N138" i="2"/>
  <c r="O138" i="2"/>
  <c r="P138" i="2"/>
  <c r="L139" i="2"/>
  <c r="M139" i="2"/>
  <c r="N139" i="2"/>
  <c r="O139" i="2"/>
  <c r="P139" i="2"/>
  <c r="L140" i="2"/>
  <c r="M140" i="2"/>
  <c r="N140" i="2"/>
  <c r="O140" i="2"/>
  <c r="P140" i="2"/>
  <c r="L141" i="2"/>
  <c r="M141" i="2"/>
  <c r="N141" i="2"/>
  <c r="O141" i="2"/>
  <c r="P141" i="2"/>
  <c r="L143" i="2"/>
  <c r="M143" i="2"/>
  <c r="N143" i="2"/>
  <c r="O143" i="2"/>
  <c r="P143" i="2"/>
  <c r="L144" i="2"/>
  <c r="M144" i="2"/>
  <c r="N144" i="2"/>
  <c r="O144" i="2"/>
  <c r="P144" i="2"/>
  <c r="L145" i="2"/>
  <c r="M145" i="2"/>
  <c r="N145" i="2"/>
  <c r="O145" i="2"/>
  <c r="P145" i="2"/>
  <c r="L146" i="2"/>
  <c r="M146" i="2"/>
  <c r="N146" i="2"/>
  <c r="O146" i="2"/>
  <c r="P146" i="2"/>
  <c r="L147" i="2"/>
  <c r="M147" i="2"/>
  <c r="N147" i="2"/>
  <c r="O147" i="2"/>
  <c r="P147" i="2"/>
  <c r="L148" i="2"/>
  <c r="M148" i="2"/>
  <c r="N148" i="2"/>
  <c r="O148" i="2"/>
  <c r="P148" i="2"/>
  <c r="L149" i="2"/>
  <c r="M149" i="2"/>
  <c r="N149" i="2"/>
  <c r="O149" i="2"/>
  <c r="P149" i="2"/>
  <c r="L150" i="2"/>
  <c r="M150" i="2"/>
  <c r="N150" i="2"/>
  <c r="O150" i="2"/>
  <c r="P150" i="2"/>
  <c r="L151" i="2"/>
  <c r="M151" i="2"/>
  <c r="N151" i="2"/>
  <c r="O151" i="2"/>
  <c r="P151" i="2"/>
  <c r="P142" i="2"/>
  <c r="O142" i="2"/>
  <c r="N142" i="2"/>
  <c r="M142" i="2"/>
  <c r="L142" i="2"/>
  <c r="P132" i="2"/>
  <c r="O132" i="2"/>
  <c r="N132" i="2"/>
  <c r="M132" i="2"/>
  <c r="L132" i="2"/>
  <c r="P122" i="2"/>
  <c r="O122" i="2"/>
  <c r="N122" i="2"/>
  <c r="M122" i="2"/>
  <c r="L12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B10" i="1"/>
  <c r="C10" i="1"/>
  <c r="D10" i="1"/>
  <c r="E10" i="1"/>
  <c r="F10" i="1"/>
  <c r="G10" i="1" a="1"/>
  <c r="G10" i="1" s="1"/>
  <c r="H10" i="1"/>
  <c r="I10" i="1"/>
  <c r="J10" i="1" a="1"/>
  <c r="J10" i="1" s="1"/>
  <c r="M101" i="2"/>
  <c r="K10" i="1"/>
  <c r="M110" i="2"/>
  <c r="M119" i="2"/>
  <c r="L10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2" i="2"/>
  <c r="L103" i="2"/>
  <c r="L104" i="2"/>
  <c r="L105" i="2"/>
  <c r="L106" i="2"/>
  <c r="L107" i="2"/>
  <c r="L108" i="2"/>
  <c r="L109" i="2"/>
  <c r="L110" i="2"/>
  <c r="L11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B26" i="1"/>
  <c r="C26" i="1"/>
  <c r="D26" i="1"/>
  <c r="E26" i="1"/>
  <c r="F26" i="1"/>
  <c r="G26" i="1" a="1"/>
  <c r="G26" i="1" s="1"/>
  <c r="H26" i="1"/>
  <c r="I26" i="1"/>
  <c r="J26" i="1" a="1"/>
  <c r="J26" i="1" s="1"/>
  <c r="M100" i="2"/>
  <c r="M108" i="2"/>
  <c r="M114" i="2"/>
  <c r="B27" i="1"/>
  <c r="C27" i="1"/>
  <c r="D27" i="1"/>
  <c r="E27" i="1"/>
  <c r="F27" i="1"/>
  <c r="G27" i="1" a="1"/>
  <c r="G27" i="1" s="1"/>
  <c r="H27" i="1"/>
  <c r="I27" i="1"/>
  <c r="J27" i="1" a="1"/>
  <c r="J27" i="1" s="1"/>
  <c r="B25" i="1"/>
  <c r="C25" i="1"/>
  <c r="D25" i="1"/>
  <c r="E25" i="1"/>
  <c r="F25" i="1"/>
  <c r="G25" i="1" a="1"/>
  <c r="G25" i="1" s="1"/>
  <c r="H25" i="1"/>
  <c r="I25" i="1"/>
  <c r="J25" i="1" a="1"/>
  <c r="J25" i="1" s="1"/>
  <c r="B7" i="1"/>
  <c r="C7" i="1"/>
  <c r="D7" i="1"/>
  <c r="E7" i="1"/>
  <c r="F7" i="1"/>
  <c r="G7" i="1" a="1"/>
  <c r="G7" i="1" s="1"/>
  <c r="H7" i="1"/>
  <c r="I7" i="1"/>
  <c r="J7" i="1" a="1"/>
  <c r="J7" i="1" s="1"/>
  <c r="M92" i="2"/>
  <c r="M105" i="2"/>
  <c r="M113" i="2"/>
  <c r="M115" i="2"/>
  <c r="M116" i="2"/>
  <c r="M117" i="2"/>
  <c r="M118" i="2"/>
  <c r="M120" i="2"/>
  <c r="M121" i="2"/>
  <c r="M112" i="2"/>
  <c r="M93" i="2"/>
  <c r="M94" i="2"/>
  <c r="M95" i="2"/>
  <c r="M96" i="2"/>
  <c r="M97" i="2"/>
  <c r="M98" i="2"/>
  <c r="M99" i="2"/>
  <c r="M103" i="2"/>
  <c r="M104" i="2"/>
  <c r="M106" i="2"/>
  <c r="M107" i="2"/>
  <c r="M109" i="2"/>
  <c r="M111" i="2"/>
  <c r="M102" i="2"/>
  <c r="M83" i="2"/>
  <c r="M84" i="2"/>
  <c r="K18" i="1"/>
  <c r="M85" i="2"/>
  <c r="M86" i="2"/>
  <c r="M87" i="2"/>
  <c r="M88" i="2"/>
  <c r="M89" i="2"/>
  <c r="M90" i="2"/>
  <c r="M91" i="2"/>
  <c r="M82" i="2"/>
  <c r="K6" i="3"/>
  <c r="L6" i="3" s="1"/>
  <c r="K5" i="3"/>
  <c r="L5" i="3" s="1"/>
  <c r="K4" i="3"/>
  <c r="L4" i="3" s="1"/>
  <c r="K3" i="3"/>
  <c r="L3" i="3" s="1"/>
  <c r="K2" i="3"/>
  <c r="L2" i="3" s="1"/>
  <c r="H3" i="3"/>
  <c r="I3" i="3" s="1"/>
  <c r="H4" i="3"/>
  <c r="I4" i="3" s="1"/>
  <c r="H5" i="3"/>
  <c r="I5" i="3" s="1"/>
  <c r="H6" i="3"/>
  <c r="I6" i="3" s="1"/>
  <c r="H2" i="3"/>
  <c r="I2" i="3" s="1"/>
  <c r="M2" i="2"/>
  <c r="M3" i="2"/>
  <c r="M12" i="2"/>
  <c r="B29" i="1"/>
  <c r="C29" i="1"/>
  <c r="D29" i="1"/>
  <c r="E29" i="1"/>
  <c r="F29" i="1"/>
  <c r="G29" i="1" a="1"/>
  <c r="G29" i="1" s="1"/>
  <c r="H29" i="1"/>
  <c r="I29" i="1"/>
  <c r="J29" i="1" a="1"/>
  <c r="J29" i="1" s="1"/>
  <c r="M71" i="2"/>
  <c r="M79" i="2"/>
  <c r="B18" i="1"/>
  <c r="C18" i="1"/>
  <c r="D18" i="1"/>
  <c r="E18" i="1"/>
  <c r="F18" i="1"/>
  <c r="G18" i="1" a="1"/>
  <c r="G18" i="1" s="1"/>
  <c r="H18" i="1"/>
  <c r="I18" i="1"/>
  <c r="J18" i="1" a="1"/>
  <c r="J18" i="1" s="1"/>
  <c r="M64" i="2"/>
  <c r="M72" i="2"/>
  <c r="M73" i="2"/>
  <c r="M74" i="2"/>
  <c r="M75" i="2"/>
  <c r="M76" i="2"/>
  <c r="M77" i="2"/>
  <c r="M78" i="2"/>
  <c r="M80" i="2"/>
  <c r="M81" i="2"/>
  <c r="M51" i="2"/>
  <c r="M52" i="2"/>
  <c r="M33" i="2"/>
  <c r="M63" i="2"/>
  <c r="M65" i="2"/>
  <c r="M66" i="2"/>
  <c r="M67" i="2"/>
  <c r="M68" i="2"/>
  <c r="M69" i="2"/>
  <c r="M70" i="2"/>
  <c r="M62" i="2"/>
  <c r="C6" i="1"/>
  <c r="G2" i="1" a="1"/>
  <c r="G2" i="1" s="1"/>
  <c r="G11" i="1" a="1"/>
  <c r="G11" i="1" s="1"/>
  <c r="M53" i="2"/>
  <c r="M54" i="2"/>
  <c r="M55" i="2"/>
  <c r="M56" i="2"/>
  <c r="M57" i="2"/>
  <c r="M58" i="2"/>
  <c r="M59" i="2"/>
  <c r="M60" i="2"/>
  <c r="M61" i="2"/>
  <c r="M43" i="2"/>
  <c r="K16" i="1"/>
  <c r="M44" i="2"/>
  <c r="M45" i="2"/>
  <c r="M46" i="2"/>
  <c r="M47" i="2"/>
  <c r="M48" i="2"/>
  <c r="M49" i="2"/>
  <c r="K15" i="1"/>
  <c r="M50" i="2"/>
  <c r="M42" i="2"/>
  <c r="M34" i="2"/>
  <c r="M35" i="2"/>
  <c r="M36" i="2"/>
  <c r="M37" i="2"/>
  <c r="M38" i="2"/>
  <c r="M39" i="2"/>
  <c r="M40" i="2"/>
  <c r="M41" i="2"/>
  <c r="M32" i="2"/>
  <c r="M23" i="2"/>
  <c r="M24" i="2"/>
  <c r="M25" i="2"/>
  <c r="M26" i="2"/>
  <c r="M27" i="2"/>
  <c r="M28" i="2"/>
  <c r="K11" i="1"/>
  <c r="M29" i="2"/>
  <c r="M30" i="2"/>
  <c r="M31" i="2"/>
  <c r="M22" i="2"/>
  <c r="M13" i="2"/>
  <c r="M14" i="2"/>
  <c r="M15" i="2"/>
  <c r="M16" i="2"/>
  <c r="M17" i="2"/>
  <c r="M18" i="2"/>
  <c r="M19" i="2"/>
  <c r="M20" i="2"/>
  <c r="M21" i="2"/>
  <c r="M4" i="2"/>
  <c r="M5" i="2"/>
  <c r="M6" i="2"/>
  <c r="M7" i="2"/>
  <c r="M8" i="2"/>
  <c r="M9" i="2"/>
  <c r="K13" i="1"/>
  <c r="M10" i="2"/>
  <c r="M11" i="2"/>
  <c r="J8" i="1" a="1"/>
  <c r="J8" i="1" s="1"/>
  <c r="J11" i="1" a="1"/>
  <c r="J11" i="1" s="1"/>
  <c r="J14" i="1" a="1"/>
  <c r="J14" i="1" s="1"/>
  <c r="J5" i="1" a="1"/>
  <c r="J5" i="1" s="1"/>
  <c r="J3" i="1" a="1"/>
  <c r="J3" i="1" s="1"/>
  <c r="J2" i="1" a="1"/>
  <c r="J2" i="1" s="1"/>
  <c r="J4" i="1" a="1"/>
  <c r="J4" i="1" s="1"/>
  <c r="J24" i="1" a="1"/>
  <c r="J24" i="1" s="1"/>
  <c r="J15" i="1" a="1"/>
  <c r="J15" i="1" s="1"/>
  <c r="J16" i="1" a="1"/>
  <c r="J16" i="1" s="1"/>
  <c r="J13" i="1" a="1"/>
  <c r="J13" i="1" s="1"/>
  <c r="J9" i="1" a="1"/>
  <c r="J9" i="1" s="1"/>
  <c r="J28" i="1" a="1"/>
  <c r="J28" i="1" s="1"/>
  <c r="J6" i="1" a="1"/>
  <c r="J6" i="1" s="1"/>
  <c r="I11" i="1"/>
  <c r="I6" i="1"/>
  <c r="I24" i="1"/>
  <c r="I5" i="1"/>
  <c r="I14" i="1"/>
  <c r="I9" i="1"/>
  <c r="I3" i="1"/>
  <c r="I8" i="1"/>
  <c r="I13" i="1"/>
  <c r="I28" i="1"/>
  <c r="I4" i="1"/>
  <c r="I15" i="1"/>
  <c r="I16" i="1"/>
  <c r="I2" i="1"/>
  <c r="H11" i="1"/>
  <c r="H6" i="1"/>
  <c r="H24" i="1"/>
  <c r="H5" i="1"/>
  <c r="H14" i="1"/>
  <c r="H9" i="1"/>
  <c r="H3" i="1"/>
  <c r="H8" i="1"/>
  <c r="H13" i="1"/>
  <c r="H28" i="1"/>
  <c r="H4" i="1"/>
  <c r="H15" i="1"/>
  <c r="H16" i="1"/>
  <c r="H2" i="1"/>
  <c r="G6" i="1" a="1"/>
  <c r="G6" i="1" s="1"/>
  <c r="G24" i="1" a="1"/>
  <c r="G24" i="1" s="1"/>
  <c r="G5" i="1" a="1"/>
  <c r="G5" i="1" s="1"/>
  <c r="G14" i="1" a="1"/>
  <c r="G14" i="1" s="1"/>
  <c r="G9" i="1" a="1"/>
  <c r="G9" i="1" s="1"/>
  <c r="G3" i="1" a="1"/>
  <c r="G3" i="1" s="1"/>
  <c r="G8" i="1" a="1"/>
  <c r="G8" i="1" s="1"/>
  <c r="G13" i="1" a="1"/>
  <c r="G13" i="1" s="1"/>
  <c r="G28" i="1" a="1"/>
  <c r="G28" i="1" s="1"/>
  <c r="G4" i="1" a="1"/>
  <c r="G4" i="1" s="1"/>
  <c r="G15" i="1" a="1"/>
  <c r="G15" i="1" s="1"/>
  <c r="G16" i="1" a="1"/>
  <c r="G16" i="1" s="1"/>
  <c r="F11" i="1"/>
  <c r="F6" i="1"/>
  <c r="F24" i="1"/>
  <c r="F5" i="1"/>
  <c r="F14" i="1"/>
  <c r="F9" i="1"/>
  <c r="F3" i="1"/>
  <c r="F8" i="1"/>
  <c r="F13" i="1"/>
  <c r="F28" i="1"/>
  <c r="F4" i="1"/>
  <c r="F15" i="1"/>
  <c r="F16" i="1"/>
  <c r="F2" i="1"/>
  <c r="E11" i="1"/>
  <c r="E6" i="1"/>
  <c r="E24" i="1"/>
  <c r="E5" i="1"/>
  <c r="E14" i="1"/>
  <c r="E9" i="1"/>
  <c r="E3" i="1"/>
  <c r="E8" i="1"/>
  <c r="E13" i="1"/>
  <c r="E28" i="1"/>
  <c r="E4" i="1"/>
  <c r="E15" i="1"/>
  <c r="E16" i="1"/>
  <c r="E2" i="1"/>
  <c r="D11" i="1"/>
  <c r="D6" i="1"/>
  <c r="D24" i="1"/>
  <c r="D5" i="1"/>
  <c r="D14" i="1"/>
  <c r="D9" i="1"/>
  <c r="D3" i="1"/>
  <c r="D8" i="1"/>
  <c r="D13" i="1"/>
  <c r="D28" i="1"/>
  <c r="D4" i="1"/>
  <c r="D15" i="1"/>
  <c r="D16" i="1"/>
  <c r="D2" i="1"/>
  <c r="C11" i="1"/>
  <c r="C24" i="1"/>
  <c r="C5" i="1"/>
  <c r="C14" i="1"/>
  <c r="C9" i="1"/>
  <c r="C3" i="1"/>
  <c r="C8" i="1"/>
  <c r="C13" i="1"/>
  <c r="C28" i="1"/>
  <c r="C4" i="1"/>
  <c r="C15" i="1"/>
  <c r="C16" i="1"/>
  <c r="C2" i="1"/>
  <c r="B6" i="1"/>
  <c r="B24" i="1"/>
  <c r="B5" i="1"/>
  <c r="B14" i="1"/>
  <c r="B9" i="1"/>
  <c r="B3" i="1"/>
  <c r="B8" i="1"/>
  <c r="B13" i="1"/>
  <c r="B28" i="1"/>
  <c r="B4" i="1"/>
  <c r="B15" i="1"/>
  <c r="B16" i="1"/>
  <c r="B2" i="1"/>
  <c r="B11" i="1"/>
  <c r="K29" i="1"/>
  <c r="K26" i="1"/>
  <c r="K14" i="1"/>
  <c r="K28" i="1"/>
  <c r="K3" i="1"/>
  <c r="K19" i="1"/>
  <c r="K5" i="1"/>
  <c r="K2" i="1"/>
  <c r="K7" i="1"/>
  <c r="K4" i="1"/>
  <c r="K8" i="1"/>
  <c r="K9" i="1"/>
  <c r="L7" i="3" l="1"/>
  <c r="I7" i="3"/>
  <c r="L21" i="1"/>
  <c r="L11" i="1"/>
  <c r="L2" i="1"/>
  <c r="L13" i="1"/>
  <c r="L6" i="1"/>
  <c r="L5" i="1"/>
  <c r="L24" i="1"/>
  <c r="L9" i="1"/>
  <c r="L17" i="1"/>
  <c r="L20" i="1"/>
  <c r="L12" i="1"/>
  <c r="L14" i="1"/>
  <c r="L4" i="1"/>
  <c r="L16" i="1"/>
  <c r="L8" i="1"/>
  <c r="L3" i="1"/>
  <c r="L15" i="1"/>
  <c r="L28" i="1"/>
  <c r="L22" i="1"/>
  <c r="L10" i="1"/>
  <c r="L26" i="1"/>
  <c r="L27" i="1"/>
  <c r="L25" i="1"/>
  <c r="L7" i="1"/>
  <c r="L29" i="1"/>
  <c r="L18" i="1"/>
  <c r="L19" i="1"/>
  <c r="L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<sst xmlns="http://schemas.openxmlformats.org/spreadsheetml/2006/main" count="636" uniqueCount="103">
  <si>
    <t>Player</t>
  </si>
  <si>
    <t>JeanClaudeVandal</t>
  </si>
  <si>
    <t>ACS</t>
  </si>
  <si>
    <t>Kills</t>
  </si>
  <si>
    <t>Death</t>
  </si>
  <si>
    <t>Assist</t>
  </si>
  <si>
    <t>Econ Rating</t>
  </si>
  <si>
    <t>First Bloods</t>
  </si>
  <si>
    <t>Plants</t>
  </si>
  <si>
    <t>Defuses</t>
  </si>
  <si>
    <t>Players</t>
  </si>
  <si>
    <t>Govate</t>
  </si>
  <si>
    <t>fXavier0</t>
  </si>
  <si>
    <t>Huzéguto</t>
  </si>
  <si>
    <t>Dduukk</t>
  </si>
  <si>
    <t>Hamza</t>
  </si>
  <si>
    <t>Aera</t>
  </si>
  <si>
    <t>Yuma</t>
  </si>
  <si>
    <t>Joekim</t>
  </si>
  <si>
    <t>Raphy4</t>
  </si>
  <si>
    <t>Game</t>
  </si>
  <si>
    <t>YouK0l</t>
  </si>
  <si>
    <t>Barret M82A1</t>
  </si>
  <si>
    <t>NS Papyyy67</t>
  </si>
  <si>
    <t>Win</t>
  </si>
  <si>
    <t>Bonus Assist</t>
  </si>
  <si>
    <t>Bonus Death</t>
  </si>
  <si>
    <t>Bonus</t>
  </si>
  <si>
    <t>Total</t>
  </si>
  <si>
    <t>S3 G1</t>
  </si>
  <si>
    <t>S3 G2</t>
  </si>
  <si>
    <t>S3 G3</t>
  </si>
  <si>
    <t>Kajox</t>
  </si>
  <si>
    <t>Sneakkyzz</t>
  </si>
  <si>
    <t>Bonus FB</t>
  </si>
  <si>
    <t>Bonus Plant</t>
  </si>
  <si>
    <t>Bonus Defuse</t>
  </si>
  <si>
    <t>Memoli</t>
  </si>
  <si>
    <t>Immortal</t>
  </si>
  <si>
    <t>Diamant</t>
  </si>
  <si>
    <t>Gold</t>
  </si>
  <si>
    <t>Bronze</t>
  </si>
  <si>
    <t>Ascendant</t>
  </si>
  <si>
    <t>Platine</t>
  </si>
  <si>
    <t>Rank</t>
  </si>
  <si>
    <t>Silver</t>
  </si>
  <si>
    <t>Iron</t>
  </si>
  <si>
    <t>Value</t>
  </si>
  <si>
    <t>Team A</t>
  </si>
  <si>
    <t>Team B</t>
  </si>
  <si>
    <t>Value A</t>
  </si>
  <si>
    <t>Value B</t>
  </si>
  <si>
    <t>Ys</t>
  </si>
  <si>
    <t>Isaac</t>
  </si>
  <si>
    <t>Meuhlio</t>
  </si>
  <si>
    <t>Philippe</t>
  </si>
  <si>
    <t>YoshiSalty</t>
  </si>
  <si>
    <t>Hamza / Cetelem</t>
  </si>
  <si>
    <t>Extase</t>
  </si>
  <si>
    <t>LxmonKxsh / Eternal Life</t>
  </si>
  <si>
    <t>Extxzz</t>
  </si>
  <si>
    <t>KC Spasmo</t>
  </si>
  <si>
    <t>Kermit</t>
  </si>
  <si>
    <t>YutaOkkotsu / Takamura</t>
  </si>
  <si>
    <t>Nicknames</t>
  </si>
  <si>
    <t>S6 G1</t>
  </si>
  <si>
    <t>S6 G2</t>
  </si>
  <si>
    <t>S6 G3</t>
  </si>
  <si>
    <t>S7 G1</t>
  </si>
  <si>
    <t>S7 G2</t>
  </si>
  <si>
    <t>S7 G3</t>
  </si>
  <si>
    <t>S8 G1</t>
  </si>
  <si>
    <t>S8 G2</t>
  </si>
  <si>
    <t>S8 G3</t>
  </si>
  <si>
    <t>Malo</t>
  </si>
  <si>
    <t>Frey</t>
  </si>
  <si>
    <t>Codeine</t>
  </si>
  <si>
    <t>Freyna</t>
  </si>
  <si>
    <t>Estimated rank A</t>
  </si>
  <si>
    <t>Estimated rank B</t>
  </si>
  <si>
    <t>Old rank</t>
  </si>
  <si>
    <t>New Rank</t>
  </si>
  <si>
    <t>S1 G1</t>
  </si>
  <si>
    <t>S1 G2</t>
  </si>
  <si>
    <t>S1 G3</t>
  </si>
  <si>
    <t xml:space="preserve">S2 G1 </t>
  </si>
  <si>
    <t>S2 G2</t>
  </si>
  <si>
    <t>S2 G3</t>
  </si>
  <si>
    <t>S2 G1</t>
  </si>
  <si>
    <t>S4 G1</t>
  </si>
  <si>
    <t>S4 G2</t>
  </si>
  <si>
    <t>S4 G3</t>
  </si>
  <si>
    <t>S5 G1</t>
  </si>
  <si>
    <t>S5 G2</t>
  </si>
  <si>
    <t>S5 G3</t>
  </si>
  <si>
    <t>Oldest</t>
  </si>
  <si>
    <t>Jalapeno</t>
  </si>
  <si>
    <t>Syyfer</t>
  </si>
  <si>
    <t>Drrako</t>
  </si>
  <si>
    <t>Kyraa</t>
  </si>
  <si>
    <t>Mira</t>
  </si>
  <si>
    <t>PlusTonyQueSosa</t>
  </si>
  <si>
    <t>Flashiing / Ledder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</si>
</sst>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4" fillId="4" borderId="0" xfId="1"/>
    <xf numFmtId="0" fontId="5" fillId="5" borderId="0" xfId="2"/>
    <xf numFmtId="0" fontId="6" fillId="0" borderId="0" xfId="0" applyFont="1"/>
  </cellXfs>
  <cellStyles count="3">
    <cellStyle name="Bad" xfId="2" builtinId="27"/>
    <cellStyle name="Good" xfId="1" builtinId="26"/>
    <cellStyle name="Normal" xfId="0" builtinId="0"/>
  </cellStyles>
  <dxfs count="37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951465-2EB7-4E17-92D9-9C859796F82F}" name="Table3" displayName="Table3" ref="A1:N29" totalsRowShown="0" headerRowDxfId="36" headerRowBorderDxfId="35" tableBorderDxfId="34">
  <autoFilter ref="A1:N29" xr:uid="{FE951465-2EB7-4E17-92D9-9C859796F82F}"/>
  <sortState xmlns:xlrd2="http://schemas.microsoft.com/office/spreadsheetml/2017/richdata2" ref="A2:N29">
    <sortCondition descending="1" ref="L1:L29"/>
  </sortState>
  <tableColumns count="14">
    <tableColumn id="1" xr3:uid="{66D681A6-2933-4A70-835A-69C319643C5F}" name="Player" dataDxfId="33"/>
    <tableColumn id="2" xr3:uid="{FFD7DD29-B45F-4AE3-ABB3-8452E201A234}" name="ACS" dataDxfId="32">
      <calculatedColumnFormula>SUMIF(Playing,Table3[[#This Row],[Player]],ACS)</calculatedColumnFormula>
    </tableColumn>
    <tableColumn id="3" xr3:uid="{D30410C7-3AE7-4B23-BCDE-FEBA7407A571}" name="Kills" dataDxfId="31">
      <calculatedColumnFormula>SUMIF(Playing,Table3[[#This Row],[Player]],Kills)</calculatedColumnFormula>
    </tableColumn>
    <tableColumn id="4" xr3:uid="{6C406144-9485-4ACD-BC58-E2EFB08DBD73}" name="Death" dataDxfId="30">
      <calculatedColumnFormula>SUMIF(Playing,Table3[[#This Row],[Player]],Deaths)</calculatedColumnFormula>
    </tableColumn>
    <tableColumn id="5" xr3:uid="{137E022F-B5BA-4A67-8A1B-17F5A9DB9AD7}" name="Assist" dataDxfId="29">
      <calculatedColumnFormula>SUMIF(Playing,Table3[[#This Row],[Player]],Assists)</calculatedColumnFormula>
    </tableColumn>
    <tableColumn id="6" xr3:uid="{FAA23D89-CD0C-49FC-9E41-A07D16AF8066}" name="Econ Rating" dataDxfId="28">
      <calculatedColumnFormula>SUMIF(Playing,Table3[[#This Row],[Player]],Econ)</calculatedColumnFormula>
    </tableColumn>
    <tableColumn id="7" xr3:uid="{4A3BDDBB-3672-4FFA-8C7D-F549D3620223}" name="First Bloods" dataDxfId="27">
      <calculatedColumnFormula array="1">SUMIF(Playing,Table3[[#This Row],[Player]],FBs)</calculatedColumnFormula>
    </tableColumn>
    <tableColumn id="8" xr3:uid="{C35E8785-77CB-4340-9E17-425A80CE94A4}" name="Plants" dataDxfId="26">
      <calculatedColumnFormula>SUMIF(Playing,Table3[[#This Row],[Player]],Plants)</calculatedColumnFormula>
    </tableColumn>
    <tableColumn id="9" xr3:uid="{C5DEC57B-18CE-4924-BE49-6D89BDEA2C6C}" name="Defuses" dataDxfId="25">
      <calculatedColumnFormula>SUMIF(Playing,Table3[[#This Row],[Player]],Defuses)</calculatedColumnFormula>
    </tableColumn>
    <tableColumn id="10" xr3:uid="{7AC8E718-55F5-4454-AE0C-52B39AEEFE85}" name="Win" dataDxfId="24">
      <calculatedColumnFormula array="1">SUMIF(Playing,Table3[[#This Row],[Player]],Wins)</calculatedColumnFormula>
    </tableColumn>
    <tableColumn id="11" xr3:uid="{6B89184C-107E-40A5-9FFC-96B5E2461A67}" name="Bonus" dataDxfId="23">
      <calculatedColumnFormula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calculatedColumnFormula>
    </tableColumn>
    <tableColumn id="12" xr3:uid="{CB1F6C20-B76B-4D10-9C57-8ECFC7CFF5B7}" name="Total" dataDxfId="22">
      <calculatedColumnFormula>SUM(Table3[[#This Row],[ACS]:[Bonus]])</calculatedColumnFormula>
    </tableColumn>
    <tableColumn id="13" xr3:uid="{A8CB5A98-E65A-4C0E-8385-828773D18D0F}" name="New Rank" dataDxfId="21"/>
    <tableColumn id="14" xr3:uid="{A63F4AC6-6260-4418-973F-8BC9FD1B19B0}" name="Old rank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6C609-0E94-49EC-A102-B754CDF1CC5D}" name="Table2" displayName="Table2" ref="A1:P241" totalsRowShown="0" headerRowDxfId="19" dataDxfId="18" tableBorderDxfId="17">
  <autoFilter ref="A1:P241" xr:uid="{E456C609-0E94-49EC-A102-B754CDF1CC5D}"/>
  <sortState xmlns:xlrd2="http://schemas.microsoft.com/office/spreadsheetml/2017/richdata2" ref="A2:M71">
    <sortCondition ref="A1:A71"/>
  </sortState>
  <tableColumns count="16">
    <tableColumn id="1" xr3:uid="{575AAFB5-5FD4-4834-874D-1760021AE559}" name="Game" dataDxfId="16"/>
    <tableColumn id="2" xr3:uid="{7A72474C-35F0-47DB-9227-4EFF70A7B8B7}" name="Player"/>
    <tableColumn id="3" xr3:uid="{BD5F1723-C530-4F32-8665-A66FF5EE9527}" name="ACS" dataDxfId="15"/>
    <tableColumn id="4" xr3:uid="{7A09D396-9797-4D81-A7E8-F3C201433FE1}" name="Kills" dataDxfId="14"/>
    <tableColumn id="5" xr3:uid="{2211D422-562C-4689-80CF-4AC1120CC9C7}" name="Death" dataDxfId="13"/>
    <tableColumn id="6" xr3:uid="{94722DF8-21E8-42EF-8689-D5977F73D151}" name="Assist" dataDxfId="12"/>
    <tableColumn id="7" xr3:uid="{37AE1A34-C198-48B7-BB52-74A4ACA9B085}" name="Econ Rating" dataDxfId="11"/>
    <tableColumn id="8" xr3:uid="{36B09E17-7F07-457F-A8E4-BBBB5948A014}" name="First Bloods" dataDxfId="10"/>
    <tableColumn id="9" xr3:uid="{24028B0C-7333-4411-A0B4-D0BC769BFE5F}" name="Plants" dataDxfId="9"/>
    <tableColumn id="10" xr3:uid="{00A92B13-A494-4FA3-B198-61FB2AC30325}" name="Defuses"/>
    <tableColumn id="11" xr3:uid="{659F52D4-AB61-48A9-B356-0BE5C69A6381}" name="Win" dataDxfId="8"/>
    <tableColumn id="18" xr3:uid="{30A36010-1B25-4E0E-9D8C-BE75FF2E2D4E}" name="Bonus Death"/>
    <tableColumn id="12" xr3:uid="{61F5BE4A-E7DD-4BEA-812D-C80B5FB39962}" name="Bonus Assist" dataDxfId="7"/>
    <tableColumn id="14" xr3:uid="{3771B5E4-CB2A-4C96-B0C1-74F246D3715B}" name="Bonus FB" dataDxfId="6"/>
    <tableColumn id="15" xr3:uid="{40CB54CD-DD54-49D8-9D12-D8BD296D3F32}" name="Bonus Plant" dataDxfId="5"/>
    <tableColumn id="16" xr3:uid="{30F250C7-BD9F-4BB6-B0F2-2E4E9FC0E849}" name="Bonus Defuse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E443-0DB3-4465-9248-6C728E39F1DD}">
  <dimension ref="A1:N29"/>
  <sheetViews>
    <sheetView tabSelected="1" zoomScale="145" zoomScaleNormal="145" workbookViewId="0">
      <selection activeCell="N18" sqref="N18"/>
    </sheetView>
  </sheetViews>
  <sheetFormatPr baseColWidth="10" defaultColWidth="8.83203125" defaultRowHeight="15" x14ac:dyDescent="0.2"/>
  <cols>
    <col min="1" max="1" width="17.6640625" bestFit="1" customWidth="1"/>
    <col min="6" max="7" width="13.6640625" customWidth="1"/>
    <col min="9" max="9" width="10.6640625" customWidth="1"/>
    <col min="13" max="13" width="12.1640625" bestFit="1" customWidth="1"/>
    <col min="14" max="14" width="10.6640625" bestFit="1" customWidth="1"/>
  </cols>
  <sheetData>
    <row r="1" spans="1:14" x14ac:dyDescent="0.2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6" t="s">
        <v>9</v>
      </c>
      <c r="J1" s="5" t="s">
        <v>24</v>
      </c>
      <c r="K1" s="5" t="s">
        <v>27</v>
      </c>
      <c r="L1" s="5" t="s">
        <v>28</v>
      </c>
      <c r="M1" s="5" t="s">
        <v>81</v>
      </c>
      <c r="N1" s="5" t="s">
        <v>80</v>
      </c>
    </row>
    <row r="2" spans="1:14" x14ac:dyDescent="0.2">
      <c r="A2" s="9" t="s">
        <v>21</v>
      </c>
      <c r="B2" s="9">
        <f>SUMIF(Playing,Table3[[#This Row],[Player]],ACS)</f>
        <v>4742</v>
      </c>
      <c r="C2" s="9">
        <f>SUMIF(Playing,Table3[[#This Row],[Player]],Kills)</f>
        <v>334</v>
      </c>
      <c r="D2" s="9">
        <f>SUMIF(Playing,Table3[[#This Row],[Player]],Deaths)</f>
        <v>210</v>
      </c>
      <c r="E2" s="9">
        <f>SUMIF(Playing,Table3[[#This Row],[Player]],Assists)</f>
        <v>29</v>
      </c>
      <c r="F2" s="9">
        <f>SUMIF(Playing,Table3[[#This Row],[Player]],Econ)</f>
        <v>1266</v>
      </c>
      <c r="G2" s="9" cm="1">
        <f t="array" ref="G2">SUMIF(Playing,Table3[[#This Row],[Player]],FBs)</f>
        <v>69</v>
      </c>
      <c r="H2" s="9">
        <f>SUMIF(Playing,Table3[[#This Row],[Player]],Plants)</f>
        <v>8</v>
      </c>
      <c r="I2" s="9">
        <f>SUMIF(Playing,Table3[[#This Row],[Player]],Defuses)</f>
        <v>4</v>
      </c>
      <c r="J2" s="9" cm="1">
        <f t="array" ref="J2">SUMIF(Playing,Table3[[#This Row],[Player]],Wins)</f>
        <v>450</v>
      </c>
      <c r="K2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160</v>
      </c>
      <c r="L2" s="9">
        <f>SUM(Table3[[#This Row],[ACS]:[Bonus]])</f>
        <v>7272</v>
      </c>
      <c r="M2" s="9">
        <v>1</v>
      </c>
      <c r="N2" s="9">
        <v>1</v>
      </c>
    </row>
    <row r="3" spans="1:14" x14ac:dyDescent="0.2">
      <c r="A3" s="9" t="s">
        <v>16</v>
      </c>
      <c r="B3" s="9">
        <f>SUMIF(Playing,Table3[[#This Row],[Player]],ACS)</f>
        <v>4592</v>
      </c>
      <c r="C3" s="9">
        <f>SUMIF(Playing,Table3[[#This Row],[Player]],Kills)</f>
        <v>337</v>
      </c>
      <c r="D3" s="9">
        <f>SUMIF(Playing,Table3[[#This Row],[Player]],Deaths)</f>
        <v>364</v>
      </c>
      <c r="E3" s="9">
        <f>SUMIF(Playing,Table3[[#This Row],[Player]],Assists)</f>
        <v>78</v>
      </c>
      <c r="F3" s="9">
        <f>SUMIF(Playing,Table3[[#This Row],[Player]],Econ)</f>
        <v>1294</v>
      </c>
      <c r="G3" s="9" cm="1">
        <f t="array" ref="G3">SUMIF(Playing,Table3[[#This Row],[Player]],FBs)</f>
        <v>36</v>
      </c>
      <c r="H3" s="9">
        <f>SUMIF(Playing,Table3[[#This Row],[Player]],Plants)</f>
        <v>31</v>
      </c>
      <c r="I3" s="9">
        <f>SUMIF(Playing,Table3[[#This Row],[Player]],Defuses)</f>
        <v>4</v>
      </c>
      <c r="J3" s="9" cm="1">
        <f t="array" ref="J3">SUMIF(Playing,Table3[[#This Row],[Player]],Wins)</f>
        <v>450</v>
      </c>
      <c r="K3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70</v>
      </c>
      <c r="L3" s="9">
        <f>SUM(Table3[[#This Row],[ACS]:[Bonus]])</f>
        <v>7256</v>
      </c>
      <c r="M3" s="9">
        <v>2</v>
      </c>
      <c r="N3" s="9">
        <v>2</v>
      </c>
    </row>
    <row r="4" spans="1:14" x14ac:dyDescent="0.2">
      <c r="A4" s="9" t="s">
        <v>60</v>
      </c>
      <c r="B4" s="9">
        <f>SUMIF(Playing,Table3[[#This Row],[Player]],ACS)</f>
        <v>4217</v>
      </c>
      <c r="C4" s="9">
        <f>SUMIF(Playing,Table3[[#This Row],[Player]],Kills)</f>
        <v>304</v>
      </c>
      <c r="D4" s="9">
        <f>SUMIF(Playing,Table3[[#This Row],[Player]],Deaths)</f>
        <v>252</v>
      </c>
      <c r="E4" s="9">
        <f>SUMIF(Playing,Table3[[#This Row],[Player]],Assists)</f>
        <v>60</v>
      </c>
      <c r="F4" s="9">
        <f>SUMIF(Playing,Table3[[#This Row],[Player]],Econ)</f>
        <v>1123</v>
      </c>
      <c r="G4" s="9" cm="1">
        <f t="array" ref="G4">SUMIF(Playing,Table3[[#This Row],[Player]],FBs)</f>
        <v>40</v>
      </c>
      <c r="H4" s="9">
        <f>SUMIF(Playing,Table3[[#This Row],[Player]],Plants)</f>
        <v>4</v>
      </c>
      <c r="I4" s="9">
        <f>SUMIF(Playing,Table3[[#This Row],[Player]],Defuses)</f>
        <v>9</v>
      </c>
      <c r="J4" s="9" cm="1">
        <f t="array" ref="J4">SUMIF(Playing,Table3[[#This Row],[Player]],Wins)</f>
        <v>450</v>
      </c>
      <c r="K4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110</v>
      </c>
      <c r="L4" s="9">
        <f>SUM(Table3[[#This Row],[ACS]:[Bonus]])</f>
        <v>6569</v>
      </c>
      <c r="M4" s="9">
        <v>3</v>
      </c>
      <c r="N4" s="9">
        <v>5</v>
      </c>
    </row>
    <row r="5" spans="1:14" x14ac:dyDescent="0.2">
      <c r="A5" s="9" t="s">
        <v>13</v>
      </c>
      <c r="B5" s="9">
        <f>SUMIF(Playing,Table3[[#This Row],[Player]],ACS)</f>
        <v>3714</v>
      </c>
      <c r="C5" s="9">
        <f>SUMIF(Playing,Table3[[#This Row],[Player]],Kills)</f>
        <v>265</v>
      </c>
      <c r="D5" s="9">
        <f>SUMIF(Playing,Table3[[#This Row],[Player]],Deaths)</f>
        <v>239</v>
      </c>
      <c r="E5" s="9">
        <f>SUMIF(Playing,Table3[[#This Row],[Player]],Assists)</f>
        <v>89</v>
      </c>
      <c r="F5" s="9">
        <f>SUMIF(Playing,Table3[[#This Row],[Player]],Econ)</f>
        <v>1145</v>
      </c>
      <c r="G5" s="9" cm="1">
        <f t="array" ref="G5">SUMIF(Playing,Table3[[#This Row],[Player]],FBs)</f>
        <v>24</v>
      </c>
      <c r="H5" s="9">
        <f>SUMIF(Playing,Table3[[#This Row],[Player]],Plants)</f>
        <v>28</v>
      </c>
      <c r="I5" s="9">
        <f>SUMIF(Playing,Table3[[#This Row],[Player]],Defuses)</f>
        <v>7</v>
      </c>
      <c r="J5" s="9" cm="1">
        <f t="array" ref="J5">SUMIF(Playing,Table3[[#This Row],[Player]],Wins)</f>
        <v>450</v>
      </c>
      <c r="K5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120</v>
      </c>
      <c r="L5" s="9">
        <f>SUM(Table3[[#This Row],[ACS]:[Bonus]])</f>
        <v>6081</v>
      </c>
      <c r="M5" s="9">
        <v>4</v>
      </c>
      <c r="N5" s="9">
        <v>3</v>
      </c>
    </row>
    <row r="6" spans="1:14" x14ac:dyDescent="0.2">
      <c r="A6" s="10" t="s">
        <v>11</v>
      </c>
      <c r="B6" s="10">
        <f>SUMIF(Playing,Table3[[#This Row],[Player]],ACS)</f>
        <v>3759</v>
      </c>
      <c r="C6" s="10">
        <f>SUMIF(Playing,Table3[[#This Row],[Player]],Kills)</f>
        <v>266</v>
      </c>
      <c r="D6" s="10">
        <f>SUMIF(Playing,Table3[[#This Row],[Player]],Deaths)</f>
        <v>191</v>
      </c>
      <c r="E6" s="10">
        <f>SUMIF(Playing,Table3[[#This Row],[Player]],Assists)</f>
        <v>49</v>
      </c>
      <c r="F6" s="10">
        <f>SUMIF(Playing,Table3[[#This Row],[Player]],Econ)</f>
        <v>911</v>
      </c>
      <c r="G6" s="10" cm="1">
        <f t="array" ref="G6">SUMIF(Playing,Table3[[#This Row],[Player]],FBs)</f>
        <v>47</v>
      </c>
      <c r="H6" s="10">
        <f>SUMIF(Playing,Table3[[#This Row],[Player]],Plants)</f>
        <v>10</v>
      </c>
      <c r="I6" s="10">
        <f>SUMIF(Playing,Table3[[#This Row],[Player]],Defuses)</f>
        <v>4</v>
      </c>
      <c r="J6" s="10" cm="1">
        <f t="array" ref="J6">SUMIF(Playing,Table3[[#This Row],[Player]],Wins)</f>
        <v>200</v>
      </c>
      <c r="K6" s="10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120</v>
      </c>
      <c r="L6" s="10">
        <f>SUM(Table3[[#This Row],[ACS]:[Bonus]])</f>
        <v>5557</v>
      </c>
      <c r="M6" s="10">
        <v>5</v>
      </c>
      <c r="N6" s="10">
        <v>4</v>
      </c>
    </row>
    <row r="7" spans="1:14" x14ac:dyDescent="0.2">
      <c r="A7" s="9" t="s">
        <v>37</v>
      </c>
      <c r="B7" s="9">
        <f>SUMIF(Playing,Table3[[#This Row],[Player]],ACS)</f>
        <v>3356</v>
      </c>
      <c r="C7" s="9">
        <f>SUMIF(Playing,Table3[[#This Row],[Player]],Kills)</f>
        <v>255</v>
      </c>
      <c r="D7" s="9">
        <f>SUMIF(Playing,Table3[[#This Row],[Player]],Deaths)</f>
        <v>185</v>
      </c>
      <c r="E7" s="9">
        <f>SUMIF(Playing,Table3[[#This Row],[Player]],Assists)</f>
        <v>53</v>
      </c>
      <c r="F7" s="9">
        <f>SUMIF(Playing,Table3[[#This Row],[Player]],Econ)</f>
        <v>888</v>
      </c>
      <c r="G7" s="9" cm="1">
        <f t="array" ref="G7">SUMIF(Playing,Table3[[#This Row],[Player]],FBs)</f>
        <v>36</v>
      </c>
      <c r="H7" s="9">
        <f>SUMIF(Playing,Table3[[#This Row],[Player]],Plants)</f>
        <v>16</v>
      </c>
      <c r="I7" s="9">
        <f>SUMIF(Playing,Table3[[#This Row],[Player]],Defuses)</f>
        <v>8</v>
      </c>
      <c r="J7" s="9" cm="1">
        <f t="array" ref="J7">SUMIF(Playing,Table3[[#This Row],[Player]],Wins)</f>
        <v>350</v>
      </c>
      <c r="K7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90</v>
      </c>
      <c r="L7" s="9">
        <f>SUM(Table3[[#This Row],[ACS]:[Bonus]])</f>
        <v>5237</v>
      </c>
      <c r="M7" s="9">
        <v>6</v>
      </c>
      <c r="N7" s="9">
        <v>6</v>
      </c>
    </row>
    <row r="8" spans="1:14" x14ac:dyDescent="0.2">
      <c r="A8" s="10" t="s">
        <v>17</v>
      </c>
      <c r="B8" s="10">
        <f>SUMIF(Playing,Table3[[#This Row],[Player]],ACS)</f>
        <v>2466</v>
      </c>
      <c r="C8" s="10">
        <f>SUMIF(Playing,Table3[[#This Row],[Player]],Kills)</f>
        <v>185</v>
      </c>
      <c r="D8" s="10">
        <f>SUMIF(Playing,Table3[[#This Row],[Player]],Deaths)</f>
        <v>239</v>
      </c>
      <c r="E8" s="10">
        <f>SUMIF(Playing,Table3[[#This Row],[Player]],Assists)</f>
        <v>94</v>
      </c>
      <c r="F8" s="10">
        <f>SUMIF(Playing,Table3[[#This Row],[Player]],Econ)</f>
        <v>641</v>
      </c>
      <c r="G8" s="10" cm="1">
        <f t="array" ref="G8">SUMIF(Playing,Table3[[#This Row],[Player]],FBs)</f>
        <v>13</v>
      </c>
      <c r="H8" s="10">
        <f>SUMIF(Playing,Table3[[#This Row],[Player]],Plants)</f>
        <v>44</v>
      </c>
      <c r="I8" s="10">
        <f>SUMIF(Playing,Table3[[#This Row],[Player]],Defuses)</f>
        <v>8</v>
      </c>
      <c r="J8" s="10" cm="1">
        <f t="array" ref="J8">SUMIF(Playing,Table3[[#This Row],[Player]],Wins)</f>
        <v>300</v>
      </c>
      <c r="K8" s="10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180</v>
      </c>
      <c r="L8" s="10">
        <f>SUM(Table3[[#This Row],[ACS]:[Bonus]])</f>
        <v>4170</v>
      </c>
      <c r="M8" s="10">
        <v>7</v>
      </c>
      <c r="N8" s="10">
        <v>7</v>
      </c>
    </row>
    <row r="9" spans="1:14" x14ac:dyDescent="0.2">
      <c r="A9" s="9" t="s">
        <v>55</v>
      </c>
      <c r="B9" s="9">
        <f>SUMIF(Playing,Table3[[#This Row],[Player]],ACS)</f>
        <v>2159</v>
      </c>
      <c r="C9" s="9">
        <f>SUMIF(Playing,Table3[[#This Row],[Player]],Kills)</f>
        <v>156</v>
      </c>
      <c r="D9" s="9">
        <f>SUMIF(Playing,Table3[[#This Row],[Player]],Deaths)</f>
        <v>207</v>
      </c>
      <c r="E9" s="9">
        <f>SUMIF(Playing,Table3[[#This Row],[Player]],Assists)</f>
        <v>81</v>
      </c>
      <c r="F9" s="9">
        <f>SUMIF(Playing,Table3[[#This Row],[Player]],Econ)</f>
        <v>636</v>
      </c>
      <c r="G9" s="9" cm="1">
        <f t="array" ref="G9">SUMIF(Playing,Table3[[#This Row],[Player]],FBs)</f>
        <v>13</v>
      </c>
      <c r="H9" s="9">
        <f>SUMIF(Playing,Table3[[#This Row],[Player]],Plants)</f>
        <v>12</v>
      </c>
      <c r="I9" s="9">
        <f>SUMIF(Playing,Table3[[#This Row],[Player]],Defuses)</f>
        <v>7</v>
      </c>
      <c r="J9" s="9" cm="1">
        <f t="array" ref="J9">SUMIF(Playing,Table3[[#This Row],[Player]],Wins)</f>
        <v>400</v>
      </c>
      <c r="K9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100</v>
      </c>
      <c r="L9" s="9">
        <f>SUM(Table3[[#This Row],[ACS]:[Bonus]])</f>
        <v>3771</v>
      </c>
      <c r="M9" s="9">
        <v>8</v>
      </c>
      <c r="N9" s="9">
        <v>8</v>
      </c>
    </row>
    <row r="10" spans="1:14" x14ac:dyDescent="0.2">
      <c r="A10" s="9" t="s">
        <v>56</v>
      </c>
      <c r="B10" s="9">
        <f>SUMIF(Playing,Table3[[#This Row],[Player]],ACS)</f>
        <v>1932</v>
      </c>
      <c r="C10" s="9">
        <f>SUMIF(Playing,Table3[[#This Row],[Player]],Kills)</f>
        <v>136</v>
      </c>
      <c r="D10" s="9">
        <f>SUMIF(Playing,Table3[[#This Row],[Player]],Deaths)</f>
        <v>226</v>
      </c>
      <c r="E10" s="9">
        <f>SUMIF(Playing,Table3[[#This Row],[Player]],Assists)</f>
        <v>69</v>
      </c>
      <c r="F10" s="9">
        <f>SUMIF(Playing,Table3[[#This Row],[Player]],Econ)</f>
        <v>597</v>
      </c>
      <c r="G10" s="9" cm="1">
        <f t="array" ref="G10">SUMIF(Playing,Table3[[#This Row],[Player]],FBs)</f>
        <v>6</v>
      </c>
      <c r="H10" s="9">
        <f>SUMIF(Playing,Table3[[#This Row],[Player]],Plants)</f>
        <v>37</v>
      </c>
      <c r="I10" s="9">
        <f>SUMIF(Playing,Table3[[#This Row],[Player]],Defuses)</f>
        <v>2</v>
      </c>
      <c r="J10" s="9" cm="1">
        <f t="array" ref="J10">SUMIF(Playing,Table3[[#This Row],[Player]],Wins)</f>
        <v>350</v>
      </c>
      <c r="K10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80</v>
      </c>
      <c r="L10" s="9">
        <f>SUM(Table3[[#This Row],[ACS]:[Bonus]])</f>
        <v>3435</v>
      </c>
      <c r="M10" s="9">
        <v>9</v>
      </c>
      <c r="N10" s="9">
        <v>10</v>
      </c>
    </row>
    <row r="11" spans="1:14" x14ac:dyDescent="0.2">
      <c r="A11" s="9" t="s">
        <v>1</v>
      </c>
      <c r="B11" s="9">
        <f>SUMIF(Playing,Table3[[#This Row],[Player]],ACS)</f>
        <v>2044</v>
      </c>
      <c r="C11" s="9">
        <f>SUMIF(Playing,Table3[[#This Row],[Player]],Kills)</f>
        <v>133</v>
      </c>
      <c r="D11" s="9">
        <f>SUMIF(Playing,Table3[[#This Row],[Player]],Deaths)</f>
        <v>148</v>
      </c>
      <c r="E11" s="9">
        <f>SUMIF(Playing,Table3[[#This Row],[Player]],Assists)</f>
        <v>33</v>
      </c>
      <c r="F11" s="9">
        <f>SUMIF(Playing,Table3[[#This Row],[Player]],Econ)</f>
        <v>546</v>
      </c>
      <c r="G11" s="9" cm="1">
        <f t="array" ref="G11">SUMIF(Playing,Table3[[#This Row],[Player]],FBs)</f>
        <v>29</v>
      </c>
      <c r="H11" s="9">
        <f>SUMIF(Playing,Table3[[#This Row],[Player]],Plants)</f>
        <v>3</v>
      </c>
      <c r="I11" s="9">
        <f>SUMIF(Playing,Table3[[#This Row],[Player]],Defuses)</f>
        <v>3</v>
      </c>
      <c r="J11" s="9" cm="1">
        <f t="array" ref="J11">SUMIF(Playing,Table3[[#This Row],[Player]],Wins)</f>
        <v>150</v>
      </c>
      <c r="K11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50</v>
      </c>
      <c r="L11" s="9">
        <f>SUM(Table3[[#This Row],[ACS]:[Bonus]])</f>
        <v>3139</v>
      </c>
      <c r="M11" s="9">
        <v>10</v>
      </c>
      <c r="N11" s="9">
        <v>9</v>
      </c>
    </row>
    <row r="12" spans="1:14" x14ac:dyDescent="0.2">
      <c r="A12" s="9" t="s">
        <v>98</v>
      </c>
      <c r="B12" s="9">
        <f>SUMIF(Playing,Table3[[#This Row],[Player]],ACS)</f>
        <v>1670</v>
      </c>
      <c r="C12" s="9">
        <f>SUMIF(Playing,Table3[[#This Row],[Player]],Kills)</f>
        <v>121</v>
      </c>
      <c r="D12" s="9">
        <f>SUMIF(Playing,Table3[[#This Row],[Player]],Deaths)</f>
        <v>88</v>
      </c>
      <c r="E12" s="9">
        <f>SUMIF(Playing,Table3[[#This Row],[Player]],Assists)</f>
        <v>30</v>
      </c>
      <c r="F12" s="9">
        <f>SUMIF(Playing,Table3[[#This Row],[Player]],Econ)</f>
        <v>506</v>
      </c>
      <c r="G12" s="9" cm="1">
        <f t="array" ref="G12">SUMIF(Playing,Table3[[#This Row],[Player]],FBs)</f>
        <v>17</v>
      </c>
      <c r="H12" s="9">
        <f>SUMIF(Playing,Table3[[#This Row],[Player]],Plants)</f>
        <v>2</v>
      </c>
      <c r="I12" s="9">
        <f>SUMIF(Playing,Table3[[#This Row],[Player]],Defuses)</f>
        <v>2</v>
      </c>
      <c r="J12" s="9" cm="1">
        <f t="array" ref="J12">SUMIF(Playing,Table3[[#This Row],[Player]],Wins)</f>
        <v>100</v>
      </c>
      <c r="K12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40</v>
      </c>
      <c r="L12" s="9">
        <f>SUM(Table3[[#This Row],[ACS]:[Bonus]])</f>
        <v>2576</v>
      </c>
      <c r="M12" s="9">
        <v>11</v>
      </c>
      <c r="N12" s="9">
        <v>20</v>
      </c>
    </row>
    <row r="13" spans="1:14" x14ac:dyDescent="0.2">
      <c r="A13" s="9" t="s">
        <v>18</v>
      </c>
      <c r="B13" s="9">
        <f>SUMIF(Playing,Table3[[#This Row],[Player]],ACS)</f>
        <v>1387</v>
      </c>
      <c r="C13" s="9">
        <f>SUMIF(Playing,Table3[[#This Row],[Player]],Kills)</f>
        <v>97</v>
      </c>
      <c r="D13" s="9">
        <f>SUMIF(Playing,Table3[[#This Row],[Player]],Deaths)</f>
        <v>142</v>
      </c>
      <c r="E13" s="9">
        <f>SUMIF(Playing,Table3[[#This Row],[Player]],Assists)</f>
        <v>42</v>
      </c>
      <c r="F13" s="9">
        <f>SUMIF(Playing,Table3[[#This Row],[Player]],Econ)</f>
        <v>399</v>
      </c>
      <c r="G13" s="9" cm="1">
        <f t="array" ref="G13">SUMIF(Playing,Table3[[#This Row],[Player]],FBs)</f>
        <v>12</v>
      </c>
      <c r="H13" s="9">
        <f>SUMIF(Playing,Table3[[#This Row],[Player]],Plants)</f>
        <v>18</v>
      </c>
      <c r="I13" s="9">
        <f>SUMIF(Playing,Table3[[#This Row],[Player]],Defuses)</f>
        <v>2</v>
      </c>
      <c r="J13" s="9" cm="1">
        <f t="array" ref="J13">SUMIF(Playing,Table3[[#This Row],[Player]],Wins)</f>
        <v>150</v>
      </c>
      <c r="K13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30</v>
      </c>
      <c r="L13" s="9">
        <f>SUM(Table3[[#This Row],[ACS]:[Bonus]])</f>
        <v>2279</v>
      </c>
      <c r="M13" s="9">
        <v>12</v>
      </c>
      <c r="N13" s="9">
        <v>11</v>
      </c>
    </row>
    <row r="14" spans="1:14" x14ac:dyDescent="0.2">
      <c r="A14" s="10" t="s">
        <v>14</v>
      </c>
      <c r="B14" s="10">
        <f>SUMIF(Playing,Table3[[#This Row],[Player]],ACS)</f>
        <v>1443</v>
      </c>
      <c r="C14" s="10">
        <f>SUMIF(Playing,Table3[[#This Row],[Player]],Kills)</f>
        <v>102</v>
      </c>
      <c r="D14" s="10">
        <f>SUMIF(Playing,Table3[[#This Row],[Player]],Deaths)</f>
        <v>96</v>
      </c>
      <c r="E14" s="10">
        <f>SUMIF(Playing,Table3[[#This Row],[Player]],Assists)</f>
        <v>22</v>
      </c>
      <c r="F14" s="10">
        <f>SUMIF(Playing,Table3[[#This Row],[Player]],Econ)</f>
        <v>395</v>
      </c>
      <c r="G14" s="10" cm="1">
        <f t="array" ref="G14">SUMIF(Playing,Table3[[#This Row],[Player]],FBs)</f>
        <v>12</v>
      </c>
      <c r="H14" s="10">
        <f>SUMIF(Playing,Table3[[#This Row],[Player]],Plants)</f>
        <v>3</v>
      </c>
      <c r="I14" s="10">
        <f>SUMIF(Playing,Table3[[#This Row],[Player]],Defuses)</f>
        <v>3</v>
      </c>
      <c r="J14" s="10" cm="1">
        <f t="array" ref="J14">SUMIF(Playing,Table3[[#This Row],[Player]],Wins)</f>
        <v>150</v>
      </c>
      <c r="K14" s="10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20</v>
      </c>
      <c r="L14" s="10">
        <f>SUM(Table3[[#This Row],[ACS]:[Bonus]])</f>
        <v>2246</v>
      </c>
      <c r="M14" s="10">
        <v>13</v>
      </c>
      <c r="N14" s="10">
        <v>12</v>
      </c>
    </row>
    <row r="15" spans="1:14" x14ac:dyDescent="0.2">
      <c r="A15" s="9" t="s">
        <v>23</v>
      </c>
      <c r="B15" s="9">
        <f>SUMIF(Playing,Table3[[#This Row],[Player]],ACS)</f>
        <v>1311</v>
      </c>
      <c r="C15" s="9">
        <f>SUMIF(Playing,Table3[[#This Row],[Player]],Kills)</f>
        <v>85</v>
      </c>
      <c r="D15" s="9">
        <f>SUMIF(Playing,Table3[[#This Row],[Player]],Deaths)</f>
        <v>79</v>
      </c>
      <c r="E15" s="9">
        <f>SUMIF(Playing,Table3[[#This Row],[Player]],Assists)</f>
        <v>25</v>
      </c>
      <c r="F15" s="9">
        <f>SUMIF(Playing,Table3[[#This Row],[Player]],Econ)</f>
        <v>367</v>
      </c>
      <c r="G15" s="9" cm="1">
        <f t="array" ref="G15">SUMIF(Playing,Table3[[#This Row],[Player]],FBs)</f>
        <v>14</v>
      </c>
      <c r="H15" s="9">
        <f>SUMIF(Playing,Table3[[#This Row],[Player]],Plants)</f>
        <v>14</v>
      </c>
      <c r="I15" s="9">
        <f>SUMIF(Playing,Table3[[#This Row],[Player]],Defuses)</f>
        <v>2</v>
      </c>
      <c r="J15" s="9" cm="1">
        <f t="array" ref="J15">SUMIF(Playing,Table3[[#This Row],[Player]],Wins)</f>
        <v>150</v>
      </c>
      <c r="K15" s="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70</v>
      </c>
      <c r="L15" s="9">
        <f>SUM(Table3[[#This Row],[ACS]:[Bonus]])</f>
        <v>2117</v>
      </c>
      <c r="M15" s="9">
        <v>14</v>
      </c>
      <c r="N15" s="9">
        <v>13</v>
      </c>
    </row>
    <row r="16" spans="1:14" x14ac:dyDescent="0.2">
      <c r="A16" t="s">
        <v>22</v>
      </c>
      <c r="B16">
        <f>SUMIF(Playing,Table3[[#This Row],[Player]],ACS)</f>
        <v>1067</v>
      </c>
      <c r="C16">
        <f>SUMIF(Playing,Table3[[#This Row],[Player]],Kills)</f>
        <v>68</v>
      </c>
      <c r="D16">
        <f>SUMIF(Playing,Table3[[#This Row],[Player]],Deaths)</f>
        <v>66</v>
      </c>
      <c r="E16">
        <f>SUMIF(Playing,Table3[[#This Row],[Player]],Assists)</f>
        <v>24</v>
      </c>
      <c r="F16">
        <f>SUMIF(Playing,Table3[[#This Row],[Player]],Econ)</f>
        <v>333</v>
      </c>
      <c r="G16" cm="1">
        <f t="array" ref="G16">SUMIF(Playing,Table3[[#This Row],[Player]],FBs)</f>
        <v>9</v>
      </c>
      <c r="H16">
        <f>SUMIF(Playing,Table3[[#This Row],[Player]],Plants)</f>
        <v>3</v>
      </c>
      <c r="I16">
        <f>SUMIF(Playing,Table3[[#This Row],[Player]],Defuses)</f>
        <v>4</v>
      </c>
      <c r="J16" cm="1">
        <f t="array" ref="J16">SUMIF(Playing,Table3[[#This Row],[Player]],Wins)</f>
        <v>250</v>
      </c>
      <c r="K16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50</v>
      </c>
      <c r="L16">
        <f>SUM(Table3[[#This Row],[ACS]:[Bonus]])</f>
        <v>1874</v>
      </c>
      <c r="M16">
        <v>15</v>
      </c>
      <c r="N16">
        <v>14</v>
      </c>
    </row>
    <row r="17" spans="1:14" x14ac:dyDescent="0.2">
      <c r="A17" t="s">
        <v>96</v>
      </c>
      <c r="B17">
        <f>SUMIF(Playing,Table3[[#This Row],[Player]],ACS)</f>
        <v>1095</v>
      </c>
      <c r="C17">
        <f>SUMIF(Playing,Table3[[#This Row],[Player]],Kills)</f>
        <v>77</v>
      </c>
      <c r="D17">
        <f>SUMIF(Playing,Table3[[#This Row],[Player]],Deaths)</f>
        <v>96</v>
      </c>
      <c r="E17">
        <f>SUMIF(Playing,Table3[[#This Row],[Player]],Assists)</f>
        <v>51</v>
      </c>
      <c r="F17">
        <f>SUMIF(Playing,Table3[[#This Row],[Player]],Econ)</f>
        <v>292</v>
      </c>
      <c r="G17" cm="1">
        <f t="array" ref="G17">SUMIF(Playing,Table3[[#This Row],[Player]],FBs)</f>
        <v>13</v>
      </c>
      <c r="H17">
        <f>SUMIF(Playing,Table3[[#This Row],[Player]],Plants)</f>
        <v>9</v>
      </c>
      <c r="I17">
        <f>SUMIF(Playing,Table3[[#This Row],[Player]],Defuses)</f>
        <v>5</v>
      </c>
      <c r="J17" cm="1">
        <f t="array" ref="J17">SUMIF(Playing,Table3[[#This Row],[Player]],Wins)</f>
        <v>150</v>
      </c>
      <c r="K17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60</v>
      </c>
      <c r="L17">
        <f>SUM(Table3[[#This Row],[ACS]:[Bonus]])</f>
        <v>1848</v>
      </c>
      <c r="M17">
        <v>16</v>
      </c>
      <c r="N17">
        <v>25</v>
      </c>
    </row>
    <row r="18" spans="1:14" x14ac:dyDescent="0.2">
      <c r="A18" t="s">
        <v>32</v>
      </c>
      <c r="B18">
        <f>SUMIF(Playing,Table3[[#This Row],[Player]],ACS)</f>
        <v>939</v>
      </c>
      <c r="C18">
        <f>SUMIF(Playing,Table3[[#This Row],[Player]],Kills)</f>
        <v>55</v>
      </c>
      <c r="D18">
        <f>SUMIF(Playing,Table3[[#This Row],[Player]],Deaths)</f>
        <v>30</v>
      </c>
      <c r="E18">
        <f>SUMIF(Playing,Table3[[#This Row],[Player]],Assists)</f>
        <v>34</v>
      </c>
      <c r="F18">
        <f>SUMIF(Playing,Table3[[#This Row],[Player]],Econ)</f>
        <v>281</v>
      </c>
      <c r="G18" cm="1">
        <f t="array" ref="G18">SUMIF(Playing,Table3[[#This Row],[Player]],FBs)</f>
        <v>5</v>
      </c>
      <c r="H18">
        <f>SUMIF(Playing,Table3[[#This Row],[Player]],Plants)</f>
        <v>7</v>
      </c>
      <c r="I18">
        <f>SUMIF(Playing,Table3[[#This Row],[Player]],Defuses)</f>
        <v>2</v>
      </c>
      <c r="J18" cm="1">
        <f t="array" ref="J18">SUMIF(Playing,Table3[[#This Row],[Player]],Wins)</f>
        <v>150</v>
      </c>
      <c r="K18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70</v>
      </c>
      <c r="L18">
        <f>SUM(Table3[[#This Row],[ACS]:[Bonus]])</f>
        <v>1573</v>
      </c>
      <c r="M18">
        <v>17</v>
      </c>
      <c r="N18">
        <v>15</v>
      </c>
    </row>
    <row r="19" spans="1:14" x14ac:dyDescent="0.2">
      <c r="A19" t="s">
        <v>75</v>
      </c>
      <c r="B19">
        <f>SUMIF(Playing,Table3[[#This Row],[Player]],ACS)</f>
        <v>935</v>
      </c>
      <c r="C19">
        <f>SUMIF(Playing,Table3[[#This Row],[Player]],Kills)</f>
        <v>65</v>
      </c>
      <c r="D19">
        <f>SUMIF(Playing,Table3[[#This Row],[Player]],Deaths)</f>
        <v>84</v>
      </c>
      <c r="E19">
        <f>SUMIF(Playing,Table3[[#This Row],[Player]],Assists)</f>
        <v>33</v>
      </c>
      <c r="F19">
        <f>SUMIF(Playing,Table3[[#This Row],[Player]],Econ)</f>
        <v>263</v>
      </c>
      <c r="G19" cm="1">
        <f t="array" ref="G19">SUMIF(Playing,Table3[[#This Row],[Player]],FBs)</f>
        <v>7</v>
      </c>
      <c r="H19">
        <f>SUMIF(Playing,Table3[[#This Row],[Player]],Plants)</f>
        <v>3</v>
      </c>
      <c r="I19">
        <f>SUMIF(Playing,Table3[[#This Row],[Player]],Defuses)</f>
        <v>3</v>
      </c>
      <c r="J19" cm="1">
        <f t="array" ref="J19">SUMIF(Playing,Table3[[#This Row],[Player]],Wins)</f>
        <v>100</v>
      </c>
      <c r="K1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30</v>
      </c>
      <c r="L19">
        <f>SUM(Table3[[#This Row],[ACS]:[Bonus]])</f>
        <v>1523</v>
      </c>
      <c r="M19">
        <v>18</v>
      </c>
      <c r="N19">
        <v>16</v>
      </c>
    </row>
    <row r="20" spans="1:14" x14ac:dyDescent="0.2">
      <c r="A20" t="s">
        <v>74</v>
      </c>
      <c r="B20">
        <f>SUMIF(Playing,Table3[[#This Row],[Player]],ACS)</f>
        <v>906</v>
      </c>
      <c r="C20">
        <f>SUMIF(Playing,Table3[[#This Row],[Player]],Kills)</f>
        <v>66</v>
      </c>
      <c r="D20">
        <f>SUMIF(Playing,Table3[[#This Row],[Player]],Deaths)</f>
        <v>45</v>
      </c>
      <c r="E20">
        <f>SUMIF(Playing,Table3[[#This Row],[Player]],Assists)</f>
        <v>17</v>
      </c>
      <c r="F20">
        <f>SUMIF(Playing,Table3[[#This Row],[Player]],Econ)</f>
        <v>232</v>
      </c>
      <c r="G20" cm="1">
        <f t="array" ref="G20">SUMIF(Playing,Table3[[#This Row],[Player]],FBs)</f>
        <v>6</v>
      </c>
      <c r="H20">
        <f>SUMIF(Playing,Table3[[#This Row],[Player]],Plants)</f>
        <v>1</v>
      </c>
      <c r="I20">
        <f>SUMIF(Playing,Table3[[#This Row],[Player]],Defuses)</f>
        <v>1</v>
      </c>
      <c r="J20" cm="1">
        <f t="array" ref="J20">SUMIF(Playing,Table3[[#This Row],[Player]],Wins)</f>
        <v>150</v>
      </c>
      <c r="K20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30</v>
      </c>
      <c r="L20">
        <f>SUM(Table3[[#This Row],[ACS]:[Bonus]])</f>
        <v>1454</v>
      </c>
      <c r="M20">
        <v>19</v>
      </c>
      <c r="N20">
        <v>17</v>
      </c>
    </row>
    <row r="21" spans="1:14" x14ac:dyDescent="0.2">
      <c r="A21" t="s">
        <v>95</v>
      </c>
      <c r="B21">
        <f>SUMIF(Playing,Table3[[#This Row],[Player]],ACS)</f>
        <v>906</v>
      </c>
      <c r="C21">
        <f>SUMIF(Playing,Table3[[#This Row],[Player]],Kills)</f>
        <v>64</v>
      </c>
      <c r="D21">
        <f>SUMIF(Playing,Table3[[#This Row],[Player]],Deaths)</f>
        <v>47</v>
      </c>
      <c r="E21">
        <f>SUMIF(Playing,Table3[[#This Row],[Player]],Assists)</f>
        <v>17</v>
      </c>
      <c r="F21">
        <f>SUMIF(Playing,Table3[[#This Row],[Player]],Econ)</f>
        <v>215</v>
      </c>
      <c r="G21" cm="1">
        <f t="array" ref="G21">SUMIF(Playing,Table3[[#This Row],[Player]],FBs)</f>
        <v>14</v>
      </c>
      <c r="H21">
        <f>SUMIF(Playing,Table3[[#This Row],[Player]],Plants)</f>
        <v>3</v>
      </c>
      <c r="I21">
        <f>SUMIF(Playing,Table3[[#This Row],[Player]],Defuses)</f>
        <v>0</v>
      </c>
      <c r="J21" cm="1">
        <f t="array" ref="J21">SUMIF(Playing,Table3[[#This Row],[Player]],Wins)</f>
        <v>100</v>
      </c>
      <c r="K21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20</v>
      </c>
      <c r="L21">
        <f>SUM(Table3[[#This Row],[ACS]:[Bonus]])</f>
        <v>1386</v>
      </c>
      <c r="M21">
        <v>20</v>
      </c>
      <c r="N21">
        <v>18</v>
      </c>
    </row>
    <row r="22" spans="1:14" x14ac:dyDescent="0.2">
      <c r="A22" t="s">
        <v>97</v>
      </c>
      <c r="B22">
        <f>SUMIF(Playing,Table3[[#This Row],[Player]],ACS)</f>
        <v>818</v>
      </c>
      <c r="C22">
        <f>SUMIF(Playing,Table3[[#This Row],[Player]],Kills)</f>
        <v>60</v>
      </c>
      <c r="D22">
        <f>SUMIF(Playing,Table3[[#This Row],[Player]],Deaths)</f>
        <v>42</v>
      </c>
      <c r="E22">
        <f>SUMIF(Playing,Table3[[#This Row],[Player]],Assists)</f>
        <v>12</v>
      </c>
      <c r="F22">
        <f>SUMIF(Playing,Table3[[#This Row],[Player]],Econ)</f>
        <v>218</v>
      </c>
      <c r="G22" cm="1">
        <f t="array" ref="G22">SUMIF(Playing,Table3[[#This Row],[Player]],FBs)</f>
        <v>8</v>
      </c>
      <c r="H22">
        <f>SUMIF(Playing,Table3[[#This Row],[Player]],Plants)</f>
        <v>8</v>
      </c>
      <c r="I22">
        <f>SUMIF(Playing,Table3[[#This Row],[Player]],Defuses)</f>
        <v>0</v>
      </c>
      <c r="J22" cm="1">
        <f t="array" ref="J22">SUMIF(Playing,Table3[[#This Row],[Player]],Wins)</f>
        <v>100</v>
      </c>
      <c r="K22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20</v>
      </c>
      <c r="L22">
        <f>SUM(Table3[[#This Row],[ACS]:[Bonus]])</f>
        <v>1286</v>
      </c>
      <c r="M22">
        <v>21</v>
      </c>
      <c r="N22">
        <v>19</v>
      </c>
    </row>
    <row r="23" spans="1:14" x14ac:dyDescent="0.2">
      <c r="A23" t="s">
        <v>76</v>
      </c>
      <c r="B23">
        <f>SUMIF(Playing,Table3[[#This Row],[Player]],ACS)</f>
        <v>617</v>
      </c>
      <c r="C23">
        <f>SUMIF(Playing,Table3[[#This Row],[Player]],Kills)</f>
        <v>45</v>
      </c>
      <c r="D23">
        <f>SUMIF(Playing,Table3[[#This Row],[Player]],Deaths)</f>
        <v>44</v>
      </c>
      <c r="E23">
        <f>SUMIF(Playing,Table3[[#This Row],[Player]],Assists)</f>
        <v>14</v>
      </c>
      <c r="F23">
        <f>SUMIF(Playing,Table3[[#This Row],[Player]],Econ)</f>
        <v>161</v>
      </c>
      <c r="G23" cm="1">
        <f t="array" ref="G23">SUMIF(Playing,Table3[[#This Row],[Player]],FBs)</f>
        <v>11</v>
      </c>
      <c r="H23">
        <f>SUMIF(Playing,Table3[[#This Row],[Player]],Plants)</f>
        <v>0</v>
      </c>
      <c r="I23">
        <f>SUMIF(Playing,Table3[[#This Row],[Player]],Defuses)</f>
        <v>0</v>
      </c>
      <c r="J23" cm="1">
        <f t="array" ref="J23">SUMIF(Playing,Table3[[#This Row],[Player]],Wins)</f>
        <v>150</v>
      </c>
      <c r="K23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20</v>
      </c>
      <c r="L23">
        <f>SUM(Table3[[#This Row],[ACS]:[Bonus]])</f>
        <v>1062</v>
      </c>
      <c r="M23">
        <v>22</v>
      </c>
      <c r="N23">
        <v>21</v>
      </c>
    </row>
    <row r="24" spans="1:14" x14ac:dyDescent="0.2">
      <c r="A24" t="s">
        <v>12</v>
      </c>
      <c r="B24">
        <f>SUMIF(Playing,Table3[[#This Row],[Player]],ACS)</f>
        <v>661</v>
      </c>
      <c r="C24">
        <f>SUMIF(Playing,Table3[[#This Row],[Player]],Kills)</f>
        <v>47</v>
      </c>
      <c r="D24">
        <f>SUMIF(Playing,Table3[[#This Row],[Player]],Deaths)</f>
        <v>52</v>
      </c>
      <c r="E24">
        <f>SUMIF(Playing,Table3[[#This Row],[Player]],Assists)</f>
        <v>11</v>
      </c>
      <c r="F24">
        <f>SUMIF(Playing,Table3[[#This Row],[Player]],Econ)</f>
        <v>177</v>
      </c>
      <c r="G24" cm="1">
        <f t="array" ref="G24">SUMIF(Playing,Table3[[#This Row],[Player]],FBs)</f>
        <v>5</v>
      </c>
      <c r="H24">
        <f>SUMIF(Playing,Table3[[#This Row],[Player]],Plants)</f>
        <v>1</v>
      </c>
      <c r="I24">
        <f>SUMIF(Playing,Table3[[#This Row],[Player]],Defuses)</f>
        <v>0</v>
      </c>
      <c r="J24" cm="1">
        <f t="array" ref="J24">SUMIF(Playing,Table3[[#This Row],[Player]],Wins)</f>
        <v>50</v>
      </c>
      <c r="K24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10</v>
      </c>
      <c r="L24">
        <f>SUM(Table3[[#This Row],[ACS]:[Bonus]])</f>
        <v>1014</v>
      </c>
      <c r="M24">
        <v>23</v>
      </c>
      <c r="N24">
        <v>22</v>
      </c>
    </row>
    <row r="25" spans="1:14" x14ac:dyDescent="0.2">
      <c r="A25" t="s">
        <v>61</v>
      </c>
      <c r="B25">
        <f>SUMIF(Playing,Table3[[#This Row],[Player]],ACS)</f>
        <v>605</v>
      </c>
      <c r="C25">
        <f>SUMIF(Playing,Table3[[#This Row],[Player]],Kills)</f>
        <v>46</v>
      </c>
      <c r="D25">
        <f>SUMIF(Playing,Table3[[#This Row],[Player]],Deaths)</f>
        <v>46</v>
      </c>
      <c r="E25">
        <f>SUMIF(Playing,Table3[[#This Row],[Player]],Assists)</f>
        <v>18</v>
      </c>
      <c r="F25">
        <f>SUMIF(Playing,Table3[[#This Row],[Player]],Econ)</f>
        <v>149</v>
      </c>
      <c r="G25" cm="1">
        <f t="array" ref="G25">SUMIF(Playing,Table3[[#This Row],[Player]],FBs)</f>
        <v>5</v>
      </c>
      <c r="H25">
        <f>SUMIF(Playing,Table3[[#This Row],[Player]],Plants)</f>
        <v>9</v>
      </c>
      <c r="I25">
        <f>SUMIF(Playing,Table3[[#This Row],[Player]],Defuses)</f>
        <v>1</v>
      </c>
      <c r="J25" cm="1">
        <f t="array" ref="J25">SUMIF(Playing,Table3[[#This Row],[Player]],Wins)</f>
        <v>50</v>
      </c>
      <c r="K25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30</v>
      </c>
      <c r="L25">
        <f>SUM(Table3[[#This Row],[ACS]:[Bonus]])</f>
        <v>959</v>
      </c>
      <c r="M25">
        <v>24</v>
      </c>
      <c r="N25">
        <v>23</v>
      </c>
    </row>
    <row r="26" spans="1:14" x14ac:dyDescent="0.2">
      <c r="A26" t="s">
        <v>54</v>
      </c>
      <c r="B26">
        <f>SUMIF(Playing,Table3[[#This Row],[Player]],ACS)</f>
        <v>588</v>
      </c>
      <c r="C26">
        <f>SUMIF(Playing,Table3[[#This Row],[Player]],Kills)</f>
        <v>41</v>
      </c>
      <c r="D26">
        <f>SUMIF(Playing,Table3[[#This Row],[Player]],Deaths)</f>
        <v>48</v>
      </c>
      <c r="E26">
        <f>SUMIF(Playing,Table3[[#This Row],[Player]],Assists)</f>
        <v>30</v>
      </c>
      <c r="F26">
        <f>SUMIF(Playing,Table3[[#This Row],[Player]],Econ)</f>
        <v>132</v>
      </c>
      <c r="G26" cm="1">
        <f t="array" ref="G26">SUMIF(Playing,Table3[[#This Row],[Player]],FBs)</f>
        <v>7</v>
      </c>
      <c r="H26">
        <f>SUMIF(Playing,Table3[[#This Row],[Player]],Plants)</f>
        <v>5</v>
      </c>
      <c r="I26">
        <f>SUMIF(Playing,Table3[[#This Row],[Player]],Defuses)</f>
        <v>1</v>
      </c>
      <c r="J26" cm="1">
        <f t="array" ref="J26">SUMIF(Playing,Table3[[#This Row],[Player]],Wins)</f>
        <v>50</v>
      </c>
      <c r="K26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30</v>
      </c>
      <c r="L26">
        <f>SUM(Table3[[#This Row],[ACS]:[Bonus]])</f>
        <v>932</v>
      </c>
      <c r="M26">
        <v>25</v>
      </c>
      <c r="N26">
        <v>24</v>
      </c>
    </row>
    <row r="27" spans="1:14" x14ac:dyDescent="0.2">
      <c r="A27" t="s">
        <v>62</v>
      </c>
      <c r="B27">
        <f>SUMIF(Playing,Table3[[#This Row],[Player]],ACS)</f>
        <v>436</v>
      </c>
      <c r="C27">
        <f>SUMIF(Playing,Table3[[#This Row],[Player]],Kills)</f>
        <v>31</v>
      </c>
      <c r="D27">
        <f>SUMIF(Playing,Table3[[#This Row],[Player]],Deaths)</f>
        <v>49</v>
      </c>
      <c r="E27">
        <f>SUMIF(Playing,Table3[[#This Row],[Player]],Assists)</f>
        <v>7</v>
      </c>
      <c r="F27">
        <f>SUMIF(Playing,Table3[[#This Row],[Player]],Econ)</f>
        <v>126</v>
      </c>
      <c r="G27" cm="1">
        <f t="array" ref="G27">SUMIF(Playing,Table3[[#This Row],[Player]],FBs)</f>
        <v>7</v>
      </c>
      <c r="H27">
        <f>SUMIF(Playing,Table3[[#This Row],[Player]],Plants)</f>
        <v>0</v>
      </c>
      <c r="I27">
        <f>SUMIF(Playing,Table3[[#This Row],[Player]],Defuses)</f>
        <v>0</v>
      </c>
      <c r="J27" cm="1">
        <f t="array" ref="J27">SUMIF(Playing,Table3[[#This Row],[Player]],Wins)</f>
        <v>50</v>
      </c>
      <c r="K27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0</v>
      </c>
      <c r="L27">
        <f>SUM(Table3[[#This Row],[ACS]:[Bonus]])</f>
        <v>706</v>
      </c>
      <c r="M27">
        <v>26</v>
      </c>
      <c r="N27">
        <v>27</v>
      </c>
    </row>
    <row r="28" spans="1:14" x14ac:dyDescent="0.2">
      <c r="A28" t="s">
        <v>19</v>
      </c>
      <c r="B28">
        <f>SUMIF(Playing,Table3[[#This Row],[Player]],ACS)</f>
        <v>338</v>
      </c>
      <c r="C28">
        <f>SUMIF(Playing,Table3[[#This Row],[Player]],Kills)</f>
        <v>21</v>
      </c>
      <c r="D28">
        <f>SUMIF(Playing,Table3[[#This Row],[Player]],Deaths)</f>
        <v>105</v>
      </c>
      <c r="E28">
        <f>SUMIF(Playing,Table3[[#This Row],[Player]],Assists)</f>
        <v>22</v>
      </c>
      <c r="F28">
        <f>SUMIF(Playing,Table3[[#This Row],[Player]],Econ)</f>
        <v>98</v>
      </c>
      <c r="G28" cm="1">
        <f t="array" ref="G28">SUMIF(Playing,Table3[[#This Row],[Player]],FBs)</f>
        <v>2</v>
      </c>
      <c r="H28">
        <f>SUMIF(Playing,Table3[[#This Row],[Player]],Plants)</f>
        <v>10</v>
      </c>
      <c r="I28">
        <f>SUMIF(Playing,Table3[[#This Row],[Player]],Defuses)</f>
        <v>0</v>
      </c>
      <c r="J28" cm="1">
        <f t="array" ref="J28">SUMIF(Playing,Table3[[#This Row],[Player]],Wins)</f>
        <v>100</v>
      </c>
      <c r="K28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0</v>
      </c>
      <c r="L28">
        <f>SUM(Table3[[#This Row],[ACS]:[Bonus]])</f>
        <v>696</v>
      </c>
      <c r="M28">
        <v>27</v>
      </c>
      <c r="N28">
        <v>26</v>
      </c>
    </row>
    <row r="29" spans="1:14" x14ac:dyDescent="0.2">
      <c r="A29" t="s">
        <v>33</v>
      </c>
      <c r="B29">
        <f>SUMIF(Playing,Table3[[#This Row],[Player]],ACS)</f>
        <v>322</v>
      </c>
      <c r="C29">
        <f>SUMIF(Playing,Table3[[#This Row],[Player]],Kills)</f>
        <v>20</v>
      </c>
      <c r="D29">
        <f>SUMIF(Playing,Table3[[#This Row],[Player]],Deaths)</f>
        <v>45</v>
      </c>
      <c r="E29">
        <f>SUMIF(Playing,Table3[[#This Row],[Player]],Assists)</f>
        <v>4</v>
      </c>
      <c r="F29">
        <f>SUMIF(Playing,Table3[[#This Row],[Player]],Econ)</f>
        <v>91</v>
      </c>
      <c r="G29" cm="1">
        <f t="array" ref="G29">SUMIF(Playing,Table3[[#This Row],[Player]],FBs)</f>
        <v>0</v>
      </c>
      <c r="H29">
        <f>SUMIF(Playing,Table3[[#This Row],[Player]],Plants)</f>
        <v>5</v>
      </c>
      <c r="I29">
        <f>SUMIF(Playing,Table3[[#This Row],[Player]],Defuses)</f>
        <v>0</v>
      </c>
      <c r="J29" cm="1">
        <f t="array" ref="J29">SUMIF(Playing,Table3[[#This Row],[Player]],Wins)</f>
        <v>0</v>
      </c>
      <c r="K29">
        <f>(SUMIF(Playing,Table3[[#This Row],[Player]],BonusAssist))+(SUMIF(Playing,Table3[[#This Row],[Player]],BonusDeath))+(SUMIF(Playing,Table3[[#This Row],[Player]],BonusFB))+(SUMIF(Playing,Table3[[#This Row],[Player]],BonusPlant))+(SUMIF(Playing,Table3[[#This Row],[Player]],BonusDefuse))</f>
        <v>10</v>
      </c>
      <c r="L29">
        <f>SUM(Table3[[#This Row],[ACS]:[Bonus]])</f>
        <v>497</v>
      </c>
      <c r="M29">
        <v>28</v>
      </c>
      <c r="N29">
        <v>28</v>
      </c>
    </row>
  </sheetData>
  <phoneticPr fontId="3" type="noConversion"/>
  <dataValidations count="1">
    <dataValidation type="list" allowBlank="1" showInputMessage="1" showErrorMessage="1" sqref="A2:A12 A14:A33" xr:uid="{0C581AF2-8BDD-46DC-81C8-94471C99856D}">
      <formula1>Players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0517-9009-4988-9282-24E4D601ADF1}">
  <dimension ref="A1:P241"/>
  <sheetViews>
    <sheetView topLeftCell="A214" zoomScaleNormal="100" workbookViewId="0">
      <selection activeCell="W7" sqref="W7"/>
    </sheetView>
  </sheetViews>
  <sheetFormatPr baseColWidth="10" defaultColWidth="8.83203125" defaultRowHeight="15" x14ac:dyDescent="0.2"/>
  <cols>
    <col min="1" max="1" width="12.5" bestFit="1" customWidth="1"/>
    <col min="2" max="2" width="17.6640625" bestFit="1" customWidth="1"/>
    <col min="3" max="3" width="10.33203125" customWidth="1"/>
    <col min="4" max="4" width="7" customWidth="1"/>
    <col min="5" max="5" width="8.33203125" customWidth="1"/>
    <col min="6" max="6" width="8.5" customWidth="1"/>
    <col min="7" max="8" width="13.5" customWidth="1"/>
    <col min="9" max="9" width="8.6640625" customWidth="1"/>
    <col min="10" max="10" width="10.1640625" customWidth="1"/>
    <col min="12" max="13" width="14.6640625" bestFit="1" customWidth="1"/>
    <col min="14" max="14" width="11.5" bestFit="1" customWidth="1"/>
    <col min="15" max="15" width="13.83203125" bestFit="1" customWidth="1"/>
    <col min="16" max="16" width="16" bestFit="1" customWidth="1"/>
  </cols>
  <sheetData>
    <row r="1" spans="1:16" x14ac:dyDescent="0.2">
      <c r="A1" s="3" t="s">
        <v>20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24</v>
      </c>
      <c r="L1" s="3" t="s">
        <v>26</v>
      </c>
      <c r="M1" s="3" t="s">
        <v>25</v>
      </c>
      <c r="N1" s="3" t="s">
        <v>34</v>
      </c>
      <c r="O1" s="3" t="s">
        <v>35</v>
      </c>
      <c r="P1" s="3" t="s">
        <v>36</v>
      </c>
    </row>
    <row r="2" spans="1:16" x14ac:dyDescent="0.2">
      <c r="A2" s="4" t="s">
        <v>82</v>
      </c>
      <c r="B2" t="s">
        <v>16</v>
      </c>
      <c r="C2">
        <v>179</v>
      </c>
      <c r="D2">
        <v>13</v>
      </c>
      <c r="E2">
        <v>11</v>
      </c>
      <c r="F2">
        <v>3</v>
      </c>
      <c r="G2">
        <v>79</v>
      </c>
      <c r="H2">
        <v>0</v>
      </c>
      <c r="I2">
        <v>2</v>
      </c>
      <c r="J2">
        <v>1</v>
      </c>
      <c r="K2">
        <v>50</v>
      </c>
      <c r="L2">
        <f>IF(Table2[[#This Row],[Death]] = MAX(E$2:E$11), 10, 0)</f>
        <v>0</v>
      </c>
      <c r="M2">
        <f>IF(Table2[[#This Row],[Assist]] = MAX(F$2:F$11), 10, 0)</f>
        <v>0</v>
      </c>
      <c r="N2">
        <f>IF(Table2[[#This Row],[First Bloods]] = MAX(H$2:H$11), 10, 0)</f>
        <v>0</v>
      </c>
      <c r="O2">
        <f>IF(Table2[[#This Row],[Plants]] = MAX(I$2:I$11), 10, 0)</f>
        <v>0</v>
      </c>
      <c r="P2">
        <f>IF(Table2[[#This Row],[Defuses]] = MAX(J$2:J$11), 10, 0)</f>
        <v>10</v>
      </c>
    </row>
    <row r="3" spans="1:16" x14ac:dyDescent="0.2">
      <c r="A3" s="4" t="s">
        <v>82</v>
      </c>
      <c r="B3" t="s">
        <v>14</v>
      </c>
      <c r="C3">
        <v>219</v>
      </c>
      <c r="D3">
        <v>16</v>
      </c>
      <c r="E3">
        <v>13</v>
      </c>
      <c r="F3">
        <v>2</v>
      </c>
      <c r="G3">
        <v>67</v>
      </c>
      <c r="H3">
        <v>4</v>
      </c>
      <c r="I3">
        <v>1</v>
      </c>
      <c r="J3">
        <v>1</v>
      </c>
      <c r="K3">
        <v>50</v>
      </c>
      <c r="L3">
        <f>IF(Table2[[#This Row],[Death]] = MAX(E$2:E$11), 10, 0)</f>
        <v>0</v>
      </c>
      <c r="M3">
        <f>IF(Table2[[#This Row],[Assist]] = MAX(F$2:F$11), 10, 0)</f>
        <v>0</v>
      </c>
      <c r="N3">
        <f>IF(Table2[[#This Row],[First Bloods]] = MAX(H$2:H$11), 10, 0)</f>
        <v>0</v>
      </c>
      <c r="O3">
        <f>IF(Table2[[#This Row],[Plants]] = MAX(I$2:I$11), 10, 0)</f>
        <v>0</v>
      </c>
      <c r="P3">
        <f>IF(Table2[[#This Row],[Defuses]] = MAX(J$2:J$11), 10, 0)</f>
        <v>10</v>
      </c>
    </row>
    <row r="4" spans="1:16" x14ac:dyDescent="0.2">
      <c r="A4" s="4" t="s">
        <v>82</v>
      </c>
      <c r="B4" t="s">
        <v>12</v>
      </c>
      <c r="C4">
        <v>237</v>
      </c>
      <c r="D4">
        <v>15</v>
      </c>
      <c r="E4">
        <v>19</v>
      </c>
      <c r="F4">
        <v>4</v>
      </c>
      <c r="G4">
        <v>57</v>
      </c>
      <c r="H4">
        <v>1</v>
      </c>
      <c r="I4">
        <v>0</v>
      </c>
      <c r="J4">
        <v>0</v>
      </c>
      <c r="K4">
        <v>0</v>
      </c>
      <c r="L4">
        <f>IF(Table2[[#This Row],[Death]] = MAX(E$2:E$11), 10, 0)</f>
        <v>10</v>
      </c>
      <c r="M4">
        <f>IF(Table2[[#This Row],[Assist]] = MAX(F$2:F$11), 10, 0)</f>
        <v>0</v>
      </c>
      <c r="N4">
        <f>IF(Table2[[#This Row],[First Bloods]] = MAX(H$2:H$11), 10, 0)</f>
        <v>0</v>
      </c>
      <c r="O4">
        <f>IF(Table2[[#This Row],[Plants]] = MAX(I$2:I$11), 10, 0)</f>
        <v>0</v>
      </c>
      <c r="P4">
        <f>IF(Table2[[#This Row],[Defuses]] = MAX(J$2:J$11), 10, 0)</f>
        <v>0</v>
      </c>
    </row>
    <row r="5" spans="1:16" x14ac:dyDescent="0.2">
      <c r="A5" s="4" t="s">
        <v>82</v>
      </c>
      <c r="B5" t="s">
        <v>11</v>
      </c>
      <c r="C5">
        <v>281</v>
      </c>
      <c r="D5">
        <v>19</v>
      </c>
      <c r="E5">
        <v>19</v>
      </c>
      <c r="F5">
        <v>4</v>
      </c>
      <c r="G5">
        <v>75</v>
      </c>
      <c r="H5">
        <v>1</v>
      </c>
      <c r="I5">
        <v>2</v>
      </c>
      <c r="J5">
        <v>1</v>
      </c>
      <c r="K5">
        <v>0</v>
      </c>
      <c r="L5">
        <f>IF(Table2[[#This Row],[Death]] = MAX(E$2:E$11), 10, 0)</f>
        <v>10</v>
      </c>
      <c r="M5">
        <f>IF(Table2[[#This Row],[Assist]] = MAX(F$2:F$11), 10, 0)</f>
        <v>0</v>
      </c>
      <c r="N5">
        <f>IF(Table2[[#This Row],[First Bloods]] = MAX(H$2:H$11), 10, 0)</f>
        <v>0</v>
      </c>
      <c r="O5">
        <f>IF(Table2[[#This Row],[Plants]] = MAX(I$2:I$11), 10, 0)</f>
        <v>0</v>
      </c>
      <c r="P5">
        <f>IF(Table2[[#This Row],[Defuses]] = MAX(J$2:J$11), 10, 0)</f>
        <v>10</v>
      </c>
    </row>
    <row r="6" spans="1:16" x14ac:dyDescent="0.2">
      <c r="A6" s="4" t="s">
        <v>82</v>
      </c>
      <c r="B6" t="s">
        <v>55</v>
      </c>
      <c r="C6">
        <v>185</v>
      </c>
      <c r="D6">
        <v>13</v>
      </c>
      <c r="E6">
        <v>10</v>
      </c>
      <c r="F6">
        <v>6</v>
      </c>
      <c r="G6">
        <v>76</v>
      </c>
      <c r="H6">
        <v>3</v>
      </c>
      <c r="I6">
        <v>0</v>
      </c>
      <c r="J6">
        <v>0</v>
      </c>
      <c r="K6">
        <v>50</v>
      </c>
      <c r="L6">
        <f>IF(Table2[[#This Row],[Death]] = MAX(E$2:E$11), 10, 0)</f>
        <v>0</v>
      </c>
      <c r="M6">
        <f>IF(Table2[[#This Row],[Assist]] = MAX(F$2:F$11), 10, 0)</f>
        <v>0</v>
      </c>
      <c r="N6">
        <f>IF(Table2[[#This Row],[First Bloods]] = MAX(H$2:H$11), 10, 0)</f>
        <v>0</v>
      </c>
      <c r="O6">
        <f>IF(Table2[[#This Row],[Plants]] = MAX(I$2:I$11), 10, 0)</f>
        <v>0</v>
      </c>
      <c r="P6">
        <f>IF(Table2[[#This Row],[Defuses]] = MAX(J$2:J$11), 10, 0)</f>
        <v>0</v>
      </c>
    </row>
    <row r="7" spans="1:16" x14ac:dyDescent="0.2">
      <c r="A7" s="4" t="s">
        <v>82</v>
      </c>
      <c r="B7" t="s">
        <v>13</v>
      </c>
      <c r="C7">
        <v>221</v>
      </c>
      <c r="D7">
        <v>14</v>
      </c>
      <c r="E7">
        <v>15</v>
      </c>
      <c r="F7">
        <v>2</v>
      </c>
      <c r="G7">
        <v>68</v>
      </c>
      <c r="H7">
        <v>1</v>
      </c>
      <c r="I7">
        <v>2</v>
      </c>
      <c r="J7">
        <v>0</v>
      </c>
      <c r="K7">
        <v>0</v>
      </c>
      <c r="L7">
        <f>IF(Table2[[#This Row],[Death]] = MAX(E$2:E$11), 10, 0)</f>
        <v>0</v>
      </c>
      <c r="M7">
        <f>IF(Table2[[#This Row],[Assist]] = MAX(F$2:F$11), 10, 0)</f>
        <v>0</v>
      </c>
      <c r="N7">
        <f>IF(Table2[[#This Row],[First Bloods]] = MAX(H$2:H$11), 10, 0)</f>
        <v>0</v>
      </c>
      <c r="O7">
        <f>IF(Table2[[#This Row],[Plants]] = MAX(I$2:I$11), 10, 0)</f>
        <v>0</v>
      </c>
      <c r="P7">
        <f>IF(Table2[[#This Row],[Defuses]] = MAX(J$2:J$11), 10, 0)</f>
        <v>0</v>
      </c>
    </row>
    <row r="8" spans="1:16" x14ac:dyDescent="0.2">
      <c r="A8" s="4" t="s">
        <v>82</v>
      </c>
      <c r="B8" t="s">
        <v>1</v>
      </c>
      <c r="C8">
        <v>479</v>
      </c>
      <c r="D8">
        <v>35</v>
      </c>
      <c r="E8">
        <v>13</v>
      </c>
      <c r="F8">
        <v>0</v>
      </c>
      <c r="G8">
        <v>103</v>
      </c>
      <c r="H8">
        <v>7</v>
      </c>
      <c r="I8">
        <v>1</v>
      </c>
      <c r="J8">
        <v>1</v>
      </c>
      <c r="K8">
        <v>50</v>
      </c>
      <c r="L8">
        <f>IF(Table2[[#This Row],[Death]] = MAX(E$2:E$11), 10, 0)</f>
        <v>0</v>
      </c>
      <c r="M8">
        <f>IF(Table2[[#This Row],[Assist]] = MAX(F$2:F$11), 10, 0)</f>
        <v>0</v>
      </c>
      <c r="N8">
        <f>IF(Table2[[#This Row],[First Bloods]] = MAX(H$2:H$11), 10, 0)</f>
        <v>10</v>
      </c>
      <c r="O8">
        <f>IF(Table2[[#This Row],[Plants]] = MAX(I$2:I$11), 10, 0)</f>
        <v>0</v>
      </c>
      <c r="P8">
        <f>IF(Table2[[#This Row],[Defuses]] = MAX(J$2:J$11), 10, 0)</f>
        <v>10</v>
      </c>
    </row>
    <row r="9" spans="1:16" x14ac:dyDescent="0.2">
      <c r="A9" s="4" t="s">
        <v>82</v>
      </c>
      <c r="B9" t="s">
        <v>18</v>
      </c>
      <c r="C9">
        <v>151</v>
      </c>
      <c r="D9">
        <v>9</v>
      </c>
      <c r="E9">
        <v>17</v>
      </c>
      <c r="F9">
        <v>5</v>
      </c>
      <c r="G9">
        <v>41</v>
      </c>
      <c r="H9">
        <v>1</v>
      </c>
      <c r="I9">
        <v>3</v>
      </c>
      <c r="J9">
        <v>0</v>
      </c>
      <c r="K9">
        <v>0</v>
      </c>
      <c r="L9">
        <f>IF(Table2[[#This Row],[Death]] = MAX(E$2:E$11), 10, 0)</f>
        <v>0</v>
      </c>
      <c r="M9">
        <f>IF(Table2[[#This Row],[Assist]] = MAX(F$2:F$11), 10, 0)</f>
        <v>0</v>
      </c>
      <c r="N9">
        <f>IF(Table2[[#This Row],[First Bloods]] = MAX(H$2:H$11), 10, 0)</f>
        <v>0</v>
      </c>
      <c r="O9">
        <f>IF(Table2[[#This Row],[Plants]] = MAX(I$2:I$11), 10, 0)</f>
        <v>0</v>
      </c>
      <c r="P9">
        <f>IF(Table2[[#This Row],[Defuses]] = MAX(J$2:J$11), 10, 0)</f>
        <v>0</v>
      </c>
    </row>
    <row r="10" spans="1:16" x14ac:dyDescent="0.2">
      <c r="A10" s="4" t="s">
        <v>82</v>
      </c>
      <c r="B10" t="s">
        <v>19</v>
      </c>
      <c r="C10">
        <v>57</v>
      </c>
      <c r="D10">
        <v>3</v>
      </c>
      <c r="E10">
        <v>18</v>
      </c>
      <c r="F10">
        <v>2</v>
      </c>
      <c r="G10">
        <v>18</v>
      </c>
      <c r="H10">
        <v>0</v>
      </c>
      <c r="I10">
        <v>2</v>
      </c>
      <c r="J10">
        <v>0</v>
      </c>
      <c r="K10">
        <v>0</v>
      </c>
      <c r="L10">
        <f>IF(Table2[[#This Row],[Death]] = MAX(E$2:E$11), 10, 0)</f>
        <v>0</v>
      </c>
      <c r="M10">
        <f>IF(Table2[[#This Row],[Assist]] = MAX(F$2:F$11), 10, 0)</f>
        <v>0</v>
      </c>
      <c r="N10">
        <f>IF(Table2[[#This Row],[First Bloods]] = MAX(H$2:H$11), 10, 0)</f>
        <v>0</v>
      </c>
      <c r="O10">
        <f>IF(Table2[[#This Row],[Plants]] = MAX(I$2:I$11), 10, 0)</f>
        <v>0</v>
      </c>
      <c r="P10">
        <f>IF(Table2[[#This Row],[Defuses]] = MAX(J$2:J$11), 10, 0)</f>
        <v>0</v>
      </c>
    </row>
    <row r="11" spans="1:16" x14ac:dyDescent="0.2">
      <c r="A11" s="7" t="s">
        <v>82</v>
      </c>
      <c r="B11" s="2" t="s">
        <v>17</v>
      </c>
      <c r="C11" s="2">
        <v>153</v>
      </c>
      <c r="D11" s="2">
        <v>11</v>
      </c>
      <c r="E11" s="2">
        <v>14</v>
      </c>
      <c r="F11" s="2">
        <v>10</v>
      </c>
      <c r="G11" s="2">
        <v>37</v>
      </c>
      <c r="H11" s="2">
        <v>2</v>
      </c>
      <c r="I11" s="2">
        <v>4</v>
      </c>
      <c r="J11" s="2">
        <v>0</v>
      </c>
      <c r="K11" s="2">
        <v>50</v>
      </c>
      <c r="L11" s="2">
        <f>IF(Table2[[#This Row],[Death]] = MIN(E$2:E$11), 10, 0)</f>
        <v>0</v>
      </c>
      <c r="M11" s="2">
        <f>IF(Table2[[#This Row],[Assist]] = MAX(F$2:F$11), 10, 0)</f>
        <v>10</v>
      </c>
      <c r="N11" s="2">
        <f>IF(Table2[[#This Row],[First Bloods]] = MAX(H$2:H$11), 10, 0)</f>
        <v>0</v>
      </c>
      <c r="O11" s="2">
        <f>IF(Table2[[#This Row],[Plants]] = MAX(I$2:I$11), 10, 0)</f>
        <v>10</v>
      </c>
      <c r="P11" s="2">
        <f>IF(Table2[[#This Row],[Defuses]] = MAX(J$2:J$11), 10, 0)</f>
        <v>0</v>
      </c>
    </row>
    <row r="12" spans="1:16" x14ac:dyDescent="0.2">
      <c r="A12" s="4" t="s">
        <v>83</v>
      </c>
      <c r="B12" s="1" t="s">
        <v>16</v>
      </c>
      <c r="C12" s="1">
        <v>130</v>
      </c>
      <c r="D12" s="1">
        <v>8</v>
      </c>
      <c r="E12" s="1">
        <v>15</v>
      </c>
      <c r="F12" s="1">
        <v>4</v>
      </c>
      <c r="G12" s="1">
        <v>41</v>
      </c>
      <c r="H12" s="1">
        <v>2</v>
      </c>
      <c r="I12" s="1">
        <v>0</v>
      </c>
      <c r="J12" s="1">
        <v>0</v>
      </c>
      <c r="K12">
        <v>0</v>
      </c>
      <c r="L12">
        <f>IF(Table2[[#This Row],[Death]] = MIN(E$12:E$21), 10, 0)</f>
        <v>0</v>
      </c>
      <c r="M12">
        <f>IF(Table2[[#This Row],[Assist]] = MAX(F$12:F$21), 10, 0)</f>
        <v>0</v>
      </c>
      <c r="N12">
        <f>IF(Table2[[#This Row],[First Bloods]] = MAX(H$12:H$21), 10, 0)</f>
        <v>0</v>
      </c>
      <c r="O12">
        <f>IF(Table2[[#This Row],[Plants]] = MAX(I$12:I$21), 10, 0)</f>
        <v>0</v>
      </c>
      <c r="P12">
        <f>IF(Table2[[#This Row],[Defuses]] = MAX(J$12:J$21), 10, 0)</f>
        <v>0</v>
      </c>
    </row>
    <row r="13" spans="1:16" x14ac:dyDescent="0.2">
      <c r="A13" s="4" t="s">
        <v>83</v>
      </c>
      <c r="B13" t="s">
        <v>14</v>
      </c>
      <c r="C13">
        <v>197</v>
      </c>
      <c r="D13">
        <v>12</v>
      </c>
      <c r="E13">
        <v>15</v>
      </c>
      <c r="F13">
        <v>5</v>
      </c>
      <c r="G13">
        <v>46</v>
      </c>
      <c r="H13">
        <v>0</v>
      </c>
      <c r="I13">
        <v>0</v>
      </c>
      <c r="J13">
        <v>0</v>
      </c>
      <c r="K13">
        <v>0</v>
      </c>
      <c r="L13">
        <f>IF(Table2[[#This Row],[Death]] = MIN(E$12:E$21), 10, 0)</f>
        <v>0</v>
      </c>
      <c r="M13">
        <f>IF(Table2[[#This Row],[Assist]] = MAX(F$12:F$21), 10, 0)</f>
        <v>0</v>
      </c>
      <c r="N13">
        <f>IF(Table2[[#This Row],[First Bloods]] = MAX(H$12:H$21), 10, 0)</f>
        <v>0</v>
      </c>
      <c r="O13">
        <f>IF(Table2[[#This Row],[Plants]] = MAX(I$12:I$21), 10, 0)</f>
        <v>0</v>
      </c>
      <c r="P13">
        <f>IF(Table2[[#This Row],[Defuses]] = MAX(J$12:J$21), 10, 0)</f>
        <v>0</v>
      </c>
    </row>
    <row r="14" spans="1:16" x14ac:dyDescent="0.2">
      <c r="A14" s="4" t="s">
        <v>83</v>
      </c>
      <c r="B14" t="s">
        <v>12</v>
      </c>
      <c r="C14">
        <v>233</v>
      </c>
      <c r="D14">
        <v>17</v>
      </c>
      <c r="E14">
        <v>13</v>
      </c>
      <c r="F14">
        <v>2</v>
      </c>
      <c r="G14">
        <v>67</v>
      </c>
      <c r="H14">
        <v>2</v>
      </c>
      <c r="I14">
        <v>0</v>
      </c>
      <c r="J14">
        <v>0</v>
      </c>
      <c r="K14">
        <v>50</v>
      </c>
      <c r="L14">
        <f>IF(Table2[[#This Row],[Death]] = MIN(E$12:E$21), 10, 0)</f>
        <v>0</v>
      </c>
      <c r="M14">
        <f>IF(Table2[[#This Row],[Assist]] = MAX(F$12:F$21), 10, 0)</f>
        <v>0</v>
      </c>
      <c r="N14">
        <f>IF(Table2[[#This Row],[First Bloods]] = MAX(H$12:H$21), 10, 0)</f>
        <v>0</v>
      </c>
      <c r="O14">
        <f>IF(Table2[[#This Row],[Plants]] = MAX(I$12:I$21), 10, 0)</f>
        <v>0</v>
      </c>
      <c r="P14">
        <f>IF(Table2[[#This Row],[Defuses]] = MAX(J$12:J$21), 10, 0)</f>
        <v>0</v>
      </c>
    </row>
    <row r="15" spans="1:16" x14ac:dyDescent="0.2">
      <c r="A15" s="4" t="s">
        <v>83</v>
      </c>
      <c r="B15" t="s">
        <v>11</v>
      </c>
      <c r="C15">
        <v>404</v>
      </c>
      <c r="D15">
        <v>27</v>
      </c>
      <c r="E15">
        <v>12</v>
      </c>
      <c r="F15">
        <v>6</v>
      </c>
      <c r="G15">
        <v>93</v>
      </c>
      <c r="H15">
        <v>6</v>
      </c>
      <c r="I15">
        <v>1</v>
      </c>
      <c r="J15">
        <v>0</v>
      </c>
      <c r="K15">
        <v>50</v>
      </c>
      <c r="L15">
        <f>IF(Table2[[#This Row],[Death]] = MIN(E$12:E$21), 10, 0)</f>
        <v>0</v>
      </c>
      <c r="M15">
        <f>IF(Table2[[#This Row],[Assist]] = MAX(F$12:F$21), 10, 0)</f>
        <v>0</v>
      </c>
      <c r="N15">
        <f>IF(Table2[[#This Row],[First Bloods]] = MAX(H$12:H$21), 10, 0)</f>
        <v>10</v>
      </c>
      <c r="O15">
        <f>IF(Table2[[#This Row],[Plants]] = MAX(I$12:I$21), 10, 0)</f>
        <v>0</v>
      </c>
      <c r="P15">
        <f>IF(Table2[[#This Row],[Defuses]] = MAX(J$12:J$21), 10, 0)</f>
        <v>0</v>
      </c>
    </row>
    <row r="16" spans="1:16" x14ac:dyDescent="0.2">
      <c r="A16" s="4" t="s">
        <v>83</v>
      </c>
      <c r="B16" t="s">
        <v>55</v>
      </c>
      <c r="C16">
        <v>115</v>
      </c>
      <c r="D16">
        <v>8</v>
      </c>
      <c r="E16">
        <v>14</v>
      </c>
      <c r="F16">
        <v>8</v>
      </c>
      <c r="G16">
        <v>33</v>
      </c>
      <c r="H16">
        <v>0</v>
      </c>
      <c r="I16">
        <v>0</v>
      </c>
      <c r="J16">
        <v>0</v>
      </c>
      <c r="K16">
        <v>0</v>
      </c>
      <c r="L16">
        <f>IF(Table2[[#This Row],[Death]] = MIN(E$12:E$21), 10, 0)</f>
        <v>0</v>
      </c>
      <c r="M16">
        <f>IF(Table2[[#This Row],[Assist]] = MAX(F$12:F$21), 10, 0)</f>
        <v>10</v>
      </c>
      <c r="N16">
        <f>IF(Table2[[#This Row],[First Bloods]] = MAX(H$12:H$21), 10, 0)</f>
        <v>0</v>
      </c>
      <c r="O16">
        <f>IF(Table2[[#This Row],[Plants]] = MAX(I$12:I$21), 10, 0)</f>
        <v>0</v>
      </c>
      <c r="P16">
        <f>IF(Table2[[#This Row],[Defuses]] = MAX(J$12:J$21), 10, 0)</f>
        <v>0</v>
      </c>
    </row>
    <row r="17" spans="1:16" x14ac:dyDescent="0.2">
      <c r="A17" s="4" t="s">
        <v>83</v>
      </c>
      <c r="B17" t="s">
        <v>13</v>
      </c>
      <c r="C17">
        <v>247</v>
      </c>
      <c r="D17">
        <v>16</v>
      </c>
      <c r="E17">
        <v>10</v>
      </c>
      <c r="F17">
        <v>6</v>
      </c>
      <c r="G17">
        <v>65</v>
      </c>
      <c r="H17">
        <v>1</v>
      </c>
      <c r="I17">
        <v>0</v>
      </c>
      <c r="J17">
        <v>1</v>
      </c>
      <c r="K17">
        <v>50</v>
      </c>
      <c r="L17">
        <f>IF(Table2[[#This Row],[Death]] = MIN(E$12:E$21), 10, 0)</f>
        <v>10</v>
      </c>
      <c r="M17">
        <f>IF(Table2[[#This Row],[Assist]] = MAX(F$12:F$21), 10, 0)</f>
        <v>0</v>
      </c>
      <c r="N17">
        <f>IF(Table2[[#This Row],[First Bloods]] = MAX(H$12:H$21), 10, 0)</f>
        <v>0</v>
      </c>
      <c r="O17">
        <f>IF(Table2[[#This Row],[Plants]] = MAX(I$12:I$21), 10, 0)</f>
        <v>0</v>
      </c>
      <c r="P17">
        <f>IF(Table2[[#This Row],[Defuses]] = MAX(J$12:J$21), 10, 0)</f>
        <v>10</v>
      </c>
    </row>
    <row r="18" spans="1:16" x14ac:dyDescent="0.2">
      <c r="A18" s="4" t="s">
        <v>83</v>
      </c>
      <c r="B18" t="s">
        <v>1</v>
      </c>
      <c r="C18">
        <v>334</v>
      </c>
      <c r="D18">
        <v>21</v>
      </c>
      <c r="E18">
        <v>17</v>
      </c>
      <c r="F18">
        <v>6</v>
      </c>
      <c r="G18">
        <v>105</v>
      </c>
      <c r="H18">
        <v>4</v>
      </c>
      <c r="I18">
        <v>1</v>
      </c>
      <c r="J18">
        <v>0</v>
      </c>
      <c r="K18">
        <v>0</v>
      </c>
      <c r="L18">
        <f>IF(Table2[[#This Row],[Death]] = MIN(E$12:E$21), 10, 0)</f>
        <v>0</v>
      </c>
      <c r="M18">
        <f>IF(Table2[[#This Row],[Assist]] = MAX(F$12:F$21), 10, 0)</f>
        <v>0</v>
      </c>
      <c r="N18">
        <f>IF(Table2[[#This Row],[First Bloods]] = MAX(H$12:H$21), 10, 0)</f>
        <v>0</v>
      </c>
      <c r="O18">
        <f>IF(Table2[[#This Row],[Plants]] = MAX(I$12:I$21), 10, 0)</f>
        <v>0</v>
      </c>
      <c r="P18">
        <f>IF(Table2[[#This Row],[Defuses]] = MAX(J$12:J$21), 10, 0)</f>
        <v>0</v>
      </c>
    </row>
    <row r="19" spans="1:16" x14ac:dyDescent="0.2">
      <c r="A19" s="4" t="s">
        <v>83</v>
      </c>
      <c r="B19" t="s">
        <v>18</v>
      </c>
      <c r="C19">
        <v>205</v>
      </c>
      <c r="D19">
        <v>15</v>
      </c>
      <c r="E19">
        <v>12</v>
      </c>
      <c r="F19">
        <v>2</v>
      </c>
      <c r="G19">
        <v>61</v>
      </c>
      <c r="H19">
        <v>2</v>
      </c>
      <c r="I19">
        <v>1</v>
      </c>
      <c r="J19">
        <v>0</v>
      </c>
      <c r="K19">
        <v>50</v>
      </c>
      <c r="L19">
        <f>IF(Table2[[#This Row],[Death]] = MIN(E$12:E$21), 10, 0)</f>
        <v>0</v>
      </c>
      <c r="M19">
        <f>IF(Table2[[#This Row],[Assist]] = MAX(F$12:F$21), 10, 0)</f>
        <v>0</v>
      </c>
      <c r="N19">
        <f>IF(Table2[[#This Row],[First Bloods]] = MAX(H$12:H$21), 10, 0)</f>
        <v>0</v>
      </c>
      <c r="O19">
        <f>IF(Table2[[#This Row],[Plants]] = MAX(I$12:I$21), 10, 0)</f>
        <v>0</v>
      </c>
      <c r="P19">
        <f>IF(Table2[[#This Row],[Defuses]] = MAX(J$12:J$21), 10, 0)</f>
        <v>0</v>
      </c>
    </row>
    <row r="20" spans="1:16" x14ac:dyDescent="0.2">
      <c r="A20" s="4" t="s">
        <v>83</v>
      </c>
      <c r="B20" t="s">
        <v>19</v>
      </c>
      <c r="C20">
        <v>24</v>
      </c>
      <c r="D20">
        <v>1</v>
      </c>
      <c r="E20">
        <v>15</v>
      </c>
      <c r="F20">
        <v>6</v>
      </c>
      <c r="G20">
        <v>5</v>
      </c>
      <c r="H20">
        <v>0</v>
      </c>
      <c r="I20">
        <v>3</v>
      </c>
      <c r="J20">
        <v>0</v>
      </c>
      <c r="K20">
        <v>50</v>
      </c>
      <c r="L20">
        <f>IF(Table2[[#This Row],[Death]] = MIN(E$12:E$21), 10, 0)</f>
        <v>0</v>
      </c>
      <c r="M20">
        <f>IF(Table2[[#This Row],[Assist]] = MAX(F$12:F$21), 10, 0)</f>
        <v>0</v>
      </c>
      <c r="N20">
        <f>IF(Table2[[#This Row],[First Bloods]] = MAX(H$12:H$21), 10, 0)</f>
        <v>0</v>
      </c>
      <c r="O20">
        <f>IF(Table2[[#This Row],[Plants]] = MAX(I$12:I$21), 10, 0)</f>
        <v>0</v>
      </c>
      <c r="P20">
        <f>IF(Table2[[#This Row],[Defuses]] = MAX(J$12:J$21), 10, 0)</f>
        <v>0</v>
      </c>
    </row>
    <row r="21" spans="1:16" x14ac:dyDescent="0.2">
      <c r="A21" s="7" t="s">
        <v>83</v>
      </c>
      <c r="B21" s="2" t="s">
        <v>17</v>
      </c>
      <c r="C21" s="2">
        <v>197</v>
      </c>
      <c r="D21" s="2">
        <v>13</v>
      </c>
      <c r="E21" s="2">
        <v>15</v>
      </c>
      <c r="F21" s="2">
        <v>8</v>
      </c>
      <c r="G21" s="2">
        <v>44</v>
      </c>
      <c r="H21" s="2">
        <v>2</v>
      </c>
      <c r="I21" s="2">
        <v>5</v>
      </c>
      <c r="J21" s="2">
        <v>0</v>
      </c>
      <c r="K21" s="2">
        <v>0</v>
      </c>
      <c r="L21" s="2">
        <f>IF(Table2[[#This Row],[Death]] = MIN(E$12:E$21), 10, 0)</f>
        <v>0</v>
      </c>
      <c r="M21" s="2">
        <f>IF(Table2[[#This Row],[Assist]] = MAX(F$12:F$21), 10, 0)</f>
        <v>10</v>
      </c>
      <c r="N21" s="2">
        <f>IF(Table2[[#This Row],[First Bloods]] = MAX(H$12:H$21), 10, 0)</f>
        <v>0</v>
      </c>
      <c r="O21" s="2">
        <f>IF(Table2[[#This Row],[Plants]] = MAX(I$12:I$21), 10, 0)</f>
        <v>10</v>
      </c>
      <c r="P21" s="2">
        <f>IF(Table2[[#This Row],[Defuses]] = MAX(J$12:J$21), 10, 0)</f>
        <v>0</v>
      </c>
    </row>
    <row r="22" spans="1:16" x14ac:dyDescent="0.2">
      <c r="A22" s="4" t="s">
        <v>84</v>
      </c>
      <c r="B22" s="1" t="s">
        <v>16</v>
      </c>
      <c r="C22" s="1">
        <v>143</v>
      </c>
      <c r="D22" s="1">
        <v>13</v>
      </c>
      <c r="E22" s="1">
        <v>14</v>
      </c>
      <c r="F22" s="1">
        <v>2</v>
      </c>
      <c r="G22" s="1">
        <v>47</v>
      </c>
      <c r="H22" s="1">
        <v>2</v>
      </c>
      <c r="I22" s="1">
        <v>3</v>
      </c>
      <c r="J22" s="1">
        <v>0</v>
      </c>
      <c r="K22" s="1">
        <v>50</v>
      </c>
      <c r="L22">
        <f>IF(Table2[[#This Row],[Death]] = MIN(E$22:E$31), 10, 0)</f>
        <v>10</v>
      </c>
      <c r="M22">
        <f>IF(Table2[[#This Row],[Assist]] = MAX(F$22:F$31), 10, 0)</f>
        <v>0</v>
      </c>
      <c r="N22">
        <f>IF(Table2[[#This Row],[First Bloods]] = MAX(H$22:H$31), 10, 0)</f>
        <v>0</v>
      </c>
      <c r="O22">
        <f>IF(Table2[[#This Row],[Plants]] = MAX(I$22:I$31), 10, 0)</f>
        <v>0</v>
      </c>
      <c r="P22">
        <f>IF(Table2[[#This Row],[Defuses]] = MAX(J$22:J$31), 10, 0)</f>
        <v>0</v>
      </c>
    </row>
    <row r="23" spans="1:16" x14ac:dyDescent="0.2">
      <c r="A23" s="4" t="s">
        <v>84</v>
      </c>
      <c r="B23" t="s">
        <v>14</v>
      </c>
      <c r="C23">
        <v>444</v>
      </c>
      <c r="D23">
        <v>37</v>
      </c>
      <c r="E23">
        <v>17</v>
      </c>
      <c r="F23">
        <v>5</v>
      </c>
      <c r="G23">
        <v>100</v>
      </c>
      <c r="H23">
        <v>4</v>
      </c>
      <c r="I23">
        <v>0</v>
      </c>
      <c r="J23">
        <v>0</v>
      </c>
      <c r="K23">
        <v>50</v>
      </c>
      <c r="L23">
        <f>IF(Table2[[#This Row],[Death]] = MIN(E$22:E$31), 10, 0)</f>
        <v>0</v>
      </c>
      <c r="M23">
        <f>IF(Table2[[#This Row],[Assist]] = MAX(F$22:F$31), 10, 0)</f>
        <v>0</v>
      </c>
      <c r="N23">
        <f>IF(Table2[[#This Row],[First Bloods]] = MAX(H$22:H$31), 10, 0)</f>
        <v>0</v>
      </c>
      <c r="O23">
        <f>IF(Table2[[#This Row],[Plants]] = MAX(I$22:I$31), 10, 0)</f>
        <v>0</v>
      </c>
      <c r="P23">
        <f>IF(Table2[[#This Row],[Defuses]] = MAX(J$22:J$31), 10, 0)</f>
        <v>0</v>
      </c>
    </row>
    <row r="24" spans="1:16" x14ac:dyDescent="0.2">
      <c r="A24" s="4" t="s">
        <v>84</v>
      </c>
      <c r="B24" t="s">
        <v>12</v>
      </c>
      <c r="C24">
        <v>191</v>
      </c>
      <c r="D24">
        <v>15</v>
      </c>
      <c r="E24">
        <v>20</v>
      </c>
      <c r="F24">
        <v>5</v>
      </c>
      <c r="G24">
        <v>53</v>
      </c>
      <c r="H24">
        <v>2</v>
      </c>
      <c r="I24">
        <v>1</v>
      </c>
      <c r="J24">
        <v>0</v>
      </c>
      <c r="K24">
        <v>0</v>
      </c>
      <c r="L24">
        <f>IF(Table2[[#This Row],[Death]] = MIN(E$22:E$31), 10, 0)</f>
        <v>0</v>
      </c>
      <c r="M24">
        <f>IF(Table2[[#This Row],[Assist]] = MAX(F$22:F$31), 10, 0)</f>
        <v>0</v>
      </c>
      <c r="N24">
        <f>IF(Table2[[#This Row],[First Bloods]] = MAX(H$22:H$31), 10, 0)</f>
        <v>0</v>
      </c>
      <c r="O24">
        <f>IF(Table2[[#This Row],[Plants]] = MAX(I$22:I$31), 10, 0)</f>
        <v>0</v>
      </c>
      <c r="P24">
        <f>IF(Table2[[#This Row],[Defuses]] = MAX(J$22:J$31), 10, 0)</f>
        <v>0</v>
      </c>
    </row>
    <row r="25" spans="1:16" x14ac:dyDescent="0.2">
      <c r="A25" s="4" t="s">
        <v>84</v>
      </c>
      <c r="B25" t="s">
        <v>11</v>
      </c>
      <c r="C25">
        <v>330</v>
      </c>
      <c r="D25">
        <v>30</v>
      </c>
      <c r="E25">
        <v>19</v>
      </c>
      <c r="F25">
        <v>2</v>
      </c>
      <c r="G25">
        <v>84</v>
      </c>
      <c r="H25">
        <v>3</v>
      </c>
      <c r="I25">
        <v>2</v>
      </c>
      <c r="J25">
        <v>0</v>
      </c>
      <c r="K25">
        <v>0</v>
      </c>
      <c r="L25">
        <f>IF(Table2[[#This Row],[Death]] = MIN(E$22:E$31), 10, 0)</f>
        <v>0</v>
      </c>
      <c r="M25">
        <f>IF(Table2[[#This Row],[Assist]] = MAX(F$22:F$31), 10, 0)</f>
        <v>0</v>
      </c>
      <c r="N25">
        <f>IF(Table2[[#This Row],[First Bloods]] = MAX(H$22:H$31), 10, 0)</f>
        <v>0</v>
      </c>
      <c r="O25">
        <f>IF(Table2[[#This Row],[Plants]] = MAX(I$22:I$31), 10, 0)</f>
        <v>0</v>
      </c>
      <c r="P25">
        <f>IF(Table2[[#This Row],[Defuses]] = MAX(J$22:J$31), 10, 0)</f>
        <v>0</v>
      </c>
    </row>
    <row r="26" spans="1:16" x14ac:dyDescent="0.2">
      <c r="A26" s="4" t="s">
        <v>84</v>
      </c>
      <c r="B26" t="s">
        <v>55</v>
      </c>
      <c r="C26">
        <v>104</v>
      </c>
      <c r="D26">
        <v>9</v>
      </c>
      <c r="E26">
        <v>18</v>
      </c>
      <c r="F26">
        <v>3</v>
      </c>
      <c r="G26">
        <v>25</v>
      </c>
      <c r="H26">
        <v>0</v>
      </c>
      <c r="I26">
        <v>0</v>
      </c>
      <c r="J26">
        <v>0</v>
      </c>
      <c r="K26">
        <v>50</v>
      </c>
      <c r="L26">
        <f>IF(Table2[[#This Row],[Death]] = MIN(E$22:E$31), 10, 0)</f>
        <v>0</v>
      </c>
      <c r="M26">
        <f>IF(Table2[[#This Row],[Assist]] = MAX(F$22:F$31), 10, 0)</f>
        <v>0</v>
      </c>
      <c r="N26">
        <f>IF(Table2[[#This Row],[First Bloods]] = MAX(H$22:H$31), 10, 0)</f>
        <v>0</v>
      </c>
      <c r="O26">
        <f>IF(Table2[[#This Row],[Plants]] = MAX(I$22:I$31), 10, 0)</f>
        <v>0</v>
      </c>
      <c r="P26">
        <f>IF(Table2[[#This Row],[Defuses]] = MAX(J$22:J$31), 10, 0)</f>
        <v>0</v>
      </c>
    </row>
    <row r="27" spans="1:16" x14ac:dyDescent="0.2">
      <c r="A27" s="4" t="s">
        <v>84</v>
      </c>
      <c r="B27" t="s">
        <v>13</v>
      </c>
      <c r="C27">
        <v>312</v>
      </c>
      <c r="D27">
        <v>26</v>
      </c>
      <c r="E27">
        <v>15</v>
      </c>
      <c r="F27">
        <v>2</v>
      </c>
      <c r="G27">
        <v>85</v>
      </c>
      <c r="H27">
        <v>2</v>
      </c>
      <c r="I27">
        <v>1</v>
      </c>
      <c r="J27">
        <v>1</v>
      </c>
      <c r="K27">
        <v>0</v>
      </c>
      <c r="L27">
        <f>IF(Table2[[#This Row],[Death]] = MIN(E$22:E$31), 10, 0)</f>
        <v>0</v>
      </c>
      <c r="M27">
        <f>IF(Table2[[#This Row],[Assist]] = MAX(F$22:F$31), 10, 0)</f>
        <v>0</v>
      </c>
      <c r="N27">
        <f>IF(Table2[[#This Row],[First Bloods]] = MAX(H$22:H$31), 10, 0)</f>
        <v>0</v>
      </c>
      <c r="O27">
        <f>IF(Table2[[#This Row],[Plants]] = MAX(I$22:I$31), 10, 0)</f>
        <v>0</v>
      </c>
      <c r="P27">
        <f>IF(Table2[[#This Row],[Defuses]] = MAX(J$22:J$31), 10, 0)</f>
        <v>0</v>
      </c>
    </row>
    <row r="28" spans="1:16" x14ac:dyDescent="0.2">
      <c r="A28" s="4" t="s">
        <v>84</v>
      </c>
      <c r="B28" t="s">
        <v>1</v>
      </c>
      <c r="C28">
        <v>302</v>
      </c>
      <c r="D28">
        <v>24</v>
      </c>
      <c r="E28">
        <v>19</v>
      </c>
      <c r="F28">
        <v>7</v>
      </c>
      <c r="G28">
        <v>99</v>
      </c>
      <c r="H28">
        <v>6</v>
      </c>
      <c r="I28">
        <v>0</v>
      </c>
      <c r="J28">
        <v>1</v>
      </c>
      <c r="K28">
        <v>50</v>
      </c>
      <c r="L28">
        <f>IF(Table2[[#This Row],[Death]] = MIN(E$22:E$31), 10, 0)</f>
        <v>0</v>
      </c>
      <c r="M28">
        <f>IF(Table2[[#This Row],[Assist]] = MAX(F$22:F$31), 10, 0)</f>
        <v>10</v>
      </c>
      <c r="N28">
        <f>IF(Table2[[#This Row],[First Bloods]] = MAX(H$22:H$31), 10, 0)</f>
        <v>10</v>
      </c>
      <c r="O28">
        <f>IF(Table2[[#This Row],[Plants]] = MAX(I$22:I$31), 10, 0)</f>
        <v>0</v>
      </c>
      <c r="P28">
        <f>IF(Table2[[#This Row],[Defuses]] = MAX(J$22:J$31), 10, 0)</f>
        <v>0</v>
      </c>
    </row>
    <row r="29" spans="1:16" x14ac:dyDescent="0.2">
      <c r="A29" s="4" t="s">
        <v>84</v>
      </c>
      <c r="B29" t="s">
        <v>18</v>
      </c>
      <c r="C29">
        <v>152</v>
      </c>
      <c r="D29">
        <v>10</v>
      </c>
      <c r="E29">
        <v>18</v>
      </c>
      <c r="F29">
        <v>5</v>
      </c>
      <c r="G29">
        <v>38</v>
      </c>
      <c r="H29">
        <v>3</v>
      </c>
      <c r="I29">
        <v>3</v>
      </c>
      <c r="J29">
        <v>0</v>
      </c>
      <c r="K29">
        <v>0</v>
      </c>
      <c r="L29">
        <f>IF(Table2[[#This Row],[Death]] = MIN(E$22:E$31), 10, 0)</f>
        <v>0</v>
      </c>
      <c r="M29">
        <f>IF(Table2[[#This Row],[Assist]] = MAX(F$22:F$31), 10, 0)</f>
        <v>0</v>
      </c>
      <c r="N29">
        <f>IF(Table2[[#This Row],[First Bloods]] = MAX(H$22:H$31), 10, 0)</f>
        <v>0</v>
      </c>
      <c r="O29">
        <f>IF(Table2[[#This Row],[Plants]] = MAX(I$22:I$31), 10, 0)</f>
        <v>0</v>
      </c>
      <c r="P29">
        <f>IF(Table2[[#This Row],[Defuses]] = MAX(J$22:J$31), 10, 0)</f>
        <v>0</v>
      </c>
    </row>
    <row r="30" spans="1:16" x14ac:dyDescent="0.2">
      <c r="A30" s="4" t="s">
        <v>84</v>
      </c>
      <c r="B30" t="s">
        <v>19</v>
      </c>
      <c r="C30">
        <v>65</v>
      </c>
      <c r="D30">
        <v>5</v>
      </c>
      <c r="E30">
        <v>22</v>
      </c>
      <c r="F30">
        <v>5</v>
      </c>
      <c r="G30">
        <v>17</v>
      </c>
      <c r="H30">
        <v>0</v>
      </c>
      <c r="I30">
        <v>2</v>
      </c>
      <c r="J30">
        <v>0</v>
      </c>
      <c r="K30">
        <v>0</v>
      </c>
      <c r="L30">
        <f>IF(Table2[[#This Row],[Death]] = MIN(E$22:E$31), 10, 0)</f>
        <v>0</v>
      </c>
      <c r="M30">
        <f>IF(Table2[[#This Row],[Assist]] = MAX(F$22:F$31), 10, 0)</f>
        <v>0</v>
      </c>
      <c r="N30">
        <f>IF(Table2[[#This Row],[First Bloods]] = MAX(H$22:H$31), 10, 0)</f>
        <v>0</v>
      </c>
      <c r="O30">
        <f>IF(Table2[[#This Row],[Plants]] = MAX(I$22:I$31), 10, 0)</f>
        <v>0</v>
      </c>
      <c r="P30">
        <f>IF(Table2[[#This Row],[Defuses]] = MAX(J$22:J$31), 10, 0)</f>
        <v>0</v>
      </c>
    </row>
    <row r="31" spans="1:16" x14ac:dyDescent="0.2">
      <c r="A31" s="7" t="s">
        <v>84</v>
      </c>
      <c r="B31" s="2" t="s">
        <v>17</v>
      </c>
      <c r="C31" s="2">
        <v>120</v>
      </c>
      <c r="D31" s="2">
        <v>11</v>
      </c>
      <c r="E31" s="2">
        <v>18</v>
      </c>
      <c r="F31" s="2">
        <v>1</v>
      </c>
      <c r="G31" s="2">
        <v>25</v>
      </c>
      <c r="H31" s="2">
        <v>2</v>
      </c>
      <c r="I31" s="2">
        <v>5</v>
      </c>
      <c r="J31" s="2">
        <v>2</v>
      </c>
      <c r="K31" s="2">
        <v>50</v>
      </c>
      <c r="L31" s="2">
        <f>IF(Table2[[#This Row],[Death]] = MIN(E$22:E$31), 10, 0)</f>
        <v>0</v>
      </c>
      <c r="M31" s="2">
        <f>IF(Table2[[#This Row],[Assist]] = MAX(F$22:F$31), 10, 0)</f>
        <v>0</v>
      </c>
      <c r="N31" s="2">
        <f>IF(Table2[[#This Row],[First Bloods]] = MAX(H$22:H$31), 10, 0)</f>
        <v>0</v>
      </c>
      <c r="O31" s="2">
        <f>IF(Table2[[#This Row],[Plants]] = MAX(I$22:I$31), 10, 0)</f>
        <v>10</v>
      </c>
      <c r="P31" s="2">
        <f>IF(Table2[[#This Row],[Defuses]] = MAX(J$22:J$31), 10, 0)</f>
        <v>10</v>
      </c>
    </row>
    <row r="32" spans="1:16" x14ac:dyDescent="0.2">
      <c r="A32" s="4" t="s">
        <v>85</v>
      </c>
      <c r="B32" s="1" t="s">
        <v>16</v>
      </c>
      <c r="C32" s="1">
        <v>167</v>
      </c>
      <c r="D32" s="1">
        <v>9</v>
      </c>
      <c r="E32" s="1">
        <v>15</v>
      </c>
      <c r="F32" s="1">
        <v>2</v>
      </c>
      <c r="G32" s="1">
        <v>44</v>
      </c>
      <c r="H32" s="1">
        <v>0</v>
      </c>
      <c r="I32" s="1">
        <v>1</v>
      </c>
      <c r="J32" s="1">
        <v>0</v>
      </c>
      <c r="K32" s="1">
        <v>0</v>
      </c>
      <c r="L32">
        <f>IF(Table2[[#This Row],[Death]] = MIN(E$32:E$41), 10, 0)</f>
        <v>0</v>
      </c>
      <c r="M32">
        <f>IF(Table2[[#This Row],[Assist]] = MAX(F$32:F$41), 10, 0)</f>
        <v>0</v>
      </c>
      <c r="N32">
        <f>IF(Table2[[#This Row],[First Bloods]] = MAX(H$32:H$41), 10, 0)</f>
        <v>0</v>
      </c>
      <c r="O32">
        <f>IF(Table2[[#This Row],[Plants]] = MAX(I$32:I$41), 10, 0)</f>
        <v>0</v>
      </c>
      <c r="P32">
        <f>IF(Table2[[#This Row],[Defuses]] = MAX(J$32:J$41), 10, 0)</f>
        <v>0</v>
      </c>
    </row>
    <row r="33" spans="1:16" x14ac:dyDescent="0.2">
      <c r="A33" s="4" t="s">
        <v>85</v>
      </c>
      <c r="B33" t="s">
        <v>22</v>
      </c>
      <c r="C33">
        <v>214</v>
      </c>
      <c r="D33">
        <v>12</v>
      </c>
      <c r="E33">
        <v>11</v>
      </c>
      <c r="F33">
        <v>4</v>
      </c>
      <c r="G33">
        <v>49</v>
      </c>
      <c r="H33">
        <v>1</v>
      </c>
      <c r="I33">
        <v>0</v>
      </c>
      <c r="J33">
        <v>1</v>
      </c>
      <c r="K33">
        <v>50</v>
      </c>
      <c r="L33">
        <f>IF(Table2[[#This Row],[Death]] = MIN(E$32:E$41), 10, 0)</f>
        <v>0</v>
      </c>
      <c r="M33">
        <f>IF(Table2[[#This Row],[Assist]] = MAX(F$32:F$41), 10, 0)</f>
        <v>0</v>
      </c>
      <c r="N33">
        <f>IF(Table2[[#This Row],[First Bloods]] = MAX(H$32:H$41), 10, 0)</f>
        <v>0</v>
      </c>
      <c r="O33">
        <f>IF(Table2[[#This Row],[Plants]] = MAX(I$32:I$41), 10, 0)</f>
        <v>0</v>
      </c>
      <c r="P33">
        <f>IF(Table2[[#This Row],[Defuses]] = MAX(J$32:J$41), 10, 0)</f>
        <v>10</v>
      </c>
    </row>
    <row r="34" spans="1:16" x14ac:dyDescent="0.2">
      <c r="A34" s="4" t="s">
        <v>88</v>
      </c>
      <c r="B34" t="s">
        <v>14</v>
      </c>
      <c r="C34">
        <v>213</v>
      </c>
      <c r="D34">
        <v>10</v>
      </c>
      <c r="E34">
        <v>16</v>
      </c>
      <c r="F34">
        <v>3</v>
      </c>
      <c r="G34">
        <v>55</v>
      </c>
      <c r="H34">
        <v>2</v>
      </c>
      <c r="I34">
        <v>1</v>
      </c>
      <c r="J34">
        <v>0</v>
      </c>
      <c r="K34">
        <v>0</v>
      </c>
      <c r="L34">
        <f>IF(Table2[[#This Row],[Death]] = MIN(E$32:E$41), 10, 0)</f>
        <v>0</v>
      </c>
      <c r="M34">
        <f>IF(Table2[[#This Row],[Assist]] = MAX(F$32:F$41), 10, 0)</f>
        <v>0</v>
      </c>
      <c r="N34">
        <f>IF(Table2[[#This Row],[First Bloods]] = MAX(H$32:H$41), 10, 0)</f>
        <v>0</v>
      </c>
      <c r="O34">
        <f>IF(Table2[[#This Row],[Plants]] = MAX(I$32:I$41), 10, 0)</f>
        <v>0</v>
      </c>
      <c r="P34">
        <f>IF(Table2[[#This Row],[Defuses]] = MAX(J$32:J$41), 10, 0)</f>
        <v>0</v>
      </c>
    </row>
    <row r="35" spans="1:16" x14ac:dyDescent="0.2">
      <c r="A35" s="4" t="s">
        <v>88</v>
      </c>
      <c r="B35" t="s">
        <v>11</v>
      </c>
      <c r="C35">
        <v>402</v>
      </c>
      <c r="D35">
        <v>22</v>
      </c>
      <c r="E35">
        <v>10</v>
      </c>
      <c r="F35">
        <v>4</v>
      </c>
      <c r="G35">
        <v>98</v>
      </c>
      <c r="H35">
        <v>4</v>
      </c>
      <c r="I35">
        <v>0</v>
      </c>
      <c r="J35">
        <v>1</v>
      </c>
      <c r="K35">
        <v>50</v>
      </c>
      <c r="L35">
        <f>IF(Table2[[#This Row],[Death]] = MIN(E$32:E$41), 10, 0)</f>
        <v>0</v>
      </c>
      <c r="M35">
        <f>IF(Table2[[#This Row],[Assist]] = MAX(F$32:F$41), 10, 0)</f>
        <v>0</v>
      </c>
      <c r="N35">
        <f>IF(Table2[[#This Row],[First Bloods]] = MAX(H$32:H$41), 10, 0)</f>
        <v>10</v>
      </c>
      <c r="O35">
        <f>IF(Table2[[#This Row],[Plants]] = MAX(I$32:I$41), 10, 0)</f>
        <v>0</v>
      </c>
      <c r="P35">
        <f>IF(Table2[[#This Row],[Defuses]] = MAX(J$32:J$41), 10, 0)</f>
        <v>10</v>
      </c>
    </row>
    <row r="36" spans="1:16" x14ac:dyDescent="0.2">
      <c r="A36" s="4" t="s">
        <v>88</v>
      </c>
      <c r="B36" t="s">
        <v>13</v>
      </c>
      <c r="C36">
        <v>214</v>
      </c>
      <c r="D36">
        <v>11</v>
      </c>
      <c r="E36">
        <v>16</v>
      </c>
      <c r="F36">
        <v>5</v>
      </c>
      <c r="G36">
        <v>56</v>
      </c>
      <c r="H36">
        <v>1</v>
      </c>
      <c r="I36">
        <v>3</v>
      </c>
      <c r="J36">
        <v>0</v>
      </c>
      <c r="K36">
        <v>0</v>
      </c>
      <c r="L36">
        <f>IF(Table2[[#This Row],[Death]] = MIN(E$32:E$41), 10, 0)</f>
        <v>0</v>
      </c>
      <c r="M36">
        <f>IF(Table2[[#This Row],[Assist]] = MAX(F$32:F$41), 10, 0)</f>
        <v>10</v>
      </c>
      <c r="N36">
        <f>IF(Table2[[#This Row],[First Bloods]] = MAX(H$32:H$41), 10, 0)</f>
        <v>0</v>
      </c>
      <c r="O36">
        <f>IF(Table2[[#This Row],[Plants]] = MAX(I$32:I$41), 10, 0)</f>
        <v>0</v>
      </c>
      <c r="P36">
        <f>IF(Table2[[#This Row],[Defuses]] = MAX(J$32:J$41), 10, 0)</f>
        <v>0</v>
      </c>
    </row>
    <row r="37" spans="1:16" x14ac:dyDescent="0.2">
      <c r="A37" s="4" t="s">
        <v>88</v>
      </c>
      <c r="B37" t="s">
        <v>1</v>
      </c>
      <c r="C37">
        <v>116</v>
      </c>
      <c r="D37">
        <v>6</v>
      </c>
      <c r="E37">
        <v>14</v>
      </c>
      <c r="F37">
        <v>2</v>
      </c>
      <c r="G37">
        <v>32</v>
      </c>
      <c r="H37">
        <v>0</v>
      </c>
      <c r="I37">
        <v>0</v>
      </c>
      <c r="J37">
        <v>0</v>
      </c>
      <c r="K37">
        <v>0</v>
      </c>
      <c r="L37">
        <f>IF(Table2[[#This Row],[Death]] = MIN(E$32:E$41), 10, 0)</f>
        <v>0</v>
      </c>
      <c r="M37">
        <f>IF(Table2[[#This Row],[Assist]] = MAX(F$32:F$41), 10, 0)</f>
        <v>0</v>
      </c>
      <c r="N37">
        <f>IF(Table2[[#This Row],[First Bloods]] = MAX(H$32:H$41), 10, 0)</f>
        <v>0</v>
      </c>
      <c r="O37">
        <f>IF(Table2[[#This Row],[Plants]] = MAX(I$32:I$41), 10, 0)</f>
        <v>0</v>
      </c>
      <c r="P37">
        <f>IF(Table2[[#This Row],[Defuses]] = MAX(J$32:J$41), 10, 0)</f>
        <v>0</v>
      </c>
    </row>
    <row r="38" spans="1:16" x14ac:dyDescent="0.2">
      <c r="A38" s="4" t="s">
        <v>88</v>
      </c>
      <c r="B38" t="s">
        <v>58</v>
      </c>
      <c r="C38">
        <v>210</v>
      </c>
      <c r="D38">
        <v>11</v>
      </c>
      <c r="E38">
        <v>14</v>
      </c>
      <c r="F38">
        <v>0</v>
      </c>
      <c r="G38">
        <v>51</v>
      </c>
      <c r="H38">
        <v>2</v>
      </c>
      <c r="I38">
        <v>1</v>
      </c>
      <c r="J38">
        <v>0</v>
      </c>
      <c r="K38">
        <v>0</v>
      </c>
      <c r="L38">
        <f>IF(Table2[[#This Row],[Death]] = MIN(E$32:E$41), 10, 0)</f>
        <v>0</v>
      </c>
      <c r="M38">
        <f>IF(Table2[[#This Row],[Assist]] = MAX(F$32:F$41), 10, 0)</f>
        <v>0</v>
      </c>
      <c r="N38">
        <f>IF(Table2[[#This Row],[First Bloods]] = MAX(H$32:H$41), 10, 0)</f>
        <v>0</v>
      </c>
      <c r="O38">
        <f>IF(Table2[[#This Row],[Plants]] = MAX(I$32:I$41), 10, 0)</f>
        <v>0</v>
      </c>
      <c r="P38">
        <f>IF(Table2[[#This Row],[Defuses]] = MAX(J$32:J$41), 10, 0)</f>
        <v>0</v>
      </c>
    </row>
    <row r="39" spans="1:16" x14ac:dyDescent="0.2">
      <c r="A39" s="4" t="s">
        <v>88</v>
      </c>
      <c r="B39" t="s">
        <v>23</v>
      </c>
      <c r="C39">
        <v>193</v>
      </c>
      <c r="D39">
        <v>11</v>
      </c>
      <c r="E39">
        <v>10</v>
      </c>
      <c r="F39">
        <v>1</v>
      </c>
      <c r="G39">
        <v>47</v>
      </c>
      <c r="H39">
        <v>2</v>
      </c>
      <c r="I39">
        <v>0</v>
      </c>
      <c r="J39">
        <v>1</v>
      </c>
      <c r="K39">
        <v>50</v>
      </c>
      <c r="L39">
        <f>IF(Table2[[#This Row],[Death]] = MIN(E$32:E$41), 10, 0)</f>
        <v>0</v>
      </c>
      <c r="M39">
        <f>IF(Table2[[#This Row],[Assist]] = MAX(F$32:F$41), 10, 0)</f>
        <v>0</v>
      </c>
      <c r="N39">
        <f>IF(Table2[[#This Row],[First Bloods]] = MAX(H$32:H$41), 10, 0)</f>
        <v>0</v>
      </c>
      <c r="O39">
        <f>IF(Table2[[#This Row],[Plants]] = MAX(I$32:I$41), 10, 0)</f>
        <v>0</v>
      </c>
      <c r="P39">
        <f>IF(Table2[[#This Row],[Defuses]] = MAX(J$32:J$41), 10, 0)</f>
        <v>10</v>
      </c>
    </row>
    <row r="40" spans="1:16" x14ac:dyDescent="0.2">
      <c r="A40" s="4" t="s">
        <v>88</v>
      </c>
      <c r="B40" t="s">
        <v>21</v>
      </c>
      <c r="C40">
        <v>299</v>
      </c>
      <c r="D40">
        <v>19</v>
      </c>
      <c r="E40">
        <v>11</v>
      </c>
      <c r="F40">
        <v>0</v>
      </c>
      <c r="G40">
        <v>85</v>
      </c>
      <c r="H40">
        <v>4</v>
      </c>
      <c r="I40">
        <v>0</v>
      </c>
      <c r="J40">
        <v>0</v>
      </c>
      <c r="K40">
        <v>50</v>
      </c>
      <c r="L40">
        <f>IF(Table2[[#This Row],[Death]] = MIN(E$32:E$41), 10, 0)</f>
        <v>0</v>
      </c>
      <c r="M40">
        <f>IF(Table2[[#This Row],[Assist]] = MAX(F$32:F$41), 10, 0)</f>
        <v>0</v>
      </c>
      <c r="N40">
        <f>IF(Table2[[#This Row],[First Bloods]] = MAX(H$32:H$41), 10, 0)</f>
        <v>10</v>
      </c>
      <c r="O40">
        <f>IF(Table2[[#This Row],[Plants]] = MAX(I$32:I$41), 10, 0)</f>
        <v>0</v>
      </c>
      <c r="P40">
        <f>IF(Table2[[#This Row],[Defuses]] = MAX(J$32:J$41), 10, 0)</f>
        <v>0</v>
      </c>
    </row>
    <row r="41" spans="1:16" x14ac:dyDescent="0.2">
      <c r="A41" s="7" t="s">
        <v>88</v>
      </c>
      <c r="B41" s="2" t="s">
        <v>17</v>
      </c>
      <c r="C41" s="2">
        <v>142</v>
      </c>
      <c r="D41" s="2">
        <v>11</v>
      </c>
      <c r="E41" s="2">
        <v>5</v>
      </c>
      <c r="F41" s="2">
        <v>5</v>
      </c>
      <c r="G41" s="2">
        <v>46</v>
      </c>
      <c r="H41" s="2">
        <v>0</v>
      </c>
      <c r="I41" s="2">
        <v>4</v>
      </c>
      <c r="J41" s="2">
        <v>0</v>
      </c>
      <c r="K41" s="2">
        <v>50</v>
      </c>
      <c r="L41" s="2">
        <f>IF(Table2[[#This Row],[Death]] = MIN(E$32:E$41), 10, 0)</f>
        <v>10</v>
      </c>
      <c r="M41" s="2">
        <f>IF(Table2[[#This Row],[Assist]] = MAX(F$32:F$41), 10, 0)</f>
        <v>10</v>
      </c>
      <c r="N41" s="2">
        <f>IF(Table2[[#This Row],[First Bloods]] = MAX(H$32:H$41), 10, 0)</f>
        <v>0</v>
      </c>
      <c r="O41" s="2">
        <f>IF(Table2[[#This Row],[Plants]] = MAX(I$32:I$41), 10, 0)</f>
        <v>10</v>
      </c>
      <c r="P41" s="2">
        <f>IF(Table2[[#This Row],[Defuses]] = MAX(J$32:J$41), 10, 0)</f>
        <v>0</v>
      </c>
    </row>
    <row r="42" spans="1:16" x14ac:dyDescent="0.2">
      <c r="A42" s="4" t="s">
        <v>86</v>
      </c>
      <c r="B42" s="1" t="s">
        <v>16</v>
      </c>
      <c r="C42" s="1">
        <v>270</v>
      </c>
      <c r="D42" s="1">
        <v>21</v>
      </c>
      <c r="E42" s="1">
        <v>11</v>
      </c>
      <c r="F42" s="1">
        <v>1</v>
      </c>
      <c r="G42" s="1">
        <v>73</v>
      </c>
      <c r="H42" s="1">
        <v>0</v>
      </c>
      <c r="I42" s="1">
        <v>2</v>
      </c>
      <c r="J42" s="1">
        <v>1</v>
      </c>
      <c r="K42" s="1">
        <v>50</v>
      </c>
      <c r="L42">
        <f>IF(Table2[[#This Row],[Death]] = MIN(E$42:E$51), 10, 0)</f>
        <v>10</v>
      </c>
      <c r="M42">
        <f>IF(Table2[[#This Row],[Assist]] = MAX(F$42:F$51), 10, 0)</f>
        <v>0</v>
      </c>
      <c r="N42">
        <f>IF(Table2[[#This Row],[First Bloods]] = MAX(H$42:H$51), 10, 0)</f>
        <v>0</v>
      </c>
      <c r="O42">
        <f>IF(Table2[[#This Row],[Plants]] = MAX(I$42:I$51), 10, 0)</f>
        <v>0</v>
      </c>
      <c r="P42">
        <f>IF(Table2[[#This Row],[Defuses]] = MAX(J$42:J$51), 10, 0)</f>
        <v>0</v>
      </c>
    </row>
    <row r="43" spans="1:16" x14ac:dyDescent="0.2">
      <c r="A43" s="4" t="s">
        <v>86</v>
      </c>
      <c r="B43" t="s">
        <v>22</v>
      </c>
      <c r="C43">
        <v>133</v>
      </c>
      <c r="D43">
        <v>8</v>
      </c>
      <c r="E43">
        <v>14</v>
      </c>
      <c r="F43">
        <v>2</v>
      </c>
      <c r="G43">
        <v>39</v>
      </c>
      <c r="H43">
        <v>2</v>
      </c>
      <c r="I43">
        <v>1</v>
      </c>
      <c r="J43">
        <v>1</v>
      </c>
      <c r="K43">
        <v>0</v>
      </c>
      <c r="L43">
        <f>IF(Table2[[#This Row],[Death]] = MIN(E$42:E$51), 10, 0)</f>
        <v>0</v>
      </c>
      <c r="M43">
        <f>IF(Table2[[#This Row],[Assist]] = MAX(F$42:F$51), 10, 0)</f>
        <v>0</v>
      </c>
      <c r="N43">
        <f>IF(Table2[[#This Row],[First Bloods]] = MAX(H$42:H$51), 10, 0)</f>
        <v>0</v>
      </c>
      <c r="O43">
        <f>IF(Table2[[#This Row],[Plants]] = MAX(I$42:I$51), 10, 0)</f>
        <v>0</v>
      </c>
      <c r="P43">
        <f>IF(Table2[[#This Row],[Defuses]] = MAX(J$42:J$51), 10, 0)</f>
        <v>0</v>
      </c>
    </row>
    <row r="44" spans="1:16" x14ac:dyDescent="0.2">
      <c r="A44" s="4" t="s">
        <v>86</v>
      </c>
      <c r="B44" t="s">
        <v>14</v>
      </c>
      <c r="C44">
        <v>166</v>
      </c>
      <c r="D44">
        <v>12</v>
      </c>
      <c r="E44">
        <v>17</v>
      </c>
      <c r="F44">
        <v>3</v>
      </c>
      <c r="G44">
        <v>51</v>
      </c>
      <c r="H44">
        <v>0</v>
      </c>
      <c r="I44">
        <v>1</v>
      </c>
      <c r="J44">
        <v>2</v>
      </c>
      <c r="K44">
        <v>50</v>
      </c>
      <c r="L44">
        <f>IF(Table2[[#This Row],[Death]] = MIN(E$42:E$51), 10, 0)</f>
        <v>0</v>
      </c>
      <c r="M44">
        <f>IF(Table2[[#This Row],[Assist]] = MAX(F$42:F$51), 10, 0)</f>
        <v>0</v>
      </c>
      <c r="N44">
        <f>IF(Table2[[#This Row],[First Bloods]] = MAX(H$42:H$51), 10, 0)</f>
        <v>0</v>
      </c>
      <c r="O44">
        <f>IF(Table2[[#This Row],[Plants]] = MAX(I$42:I$51), 10, 0)</f>
        <v>0</v>
      </c>
      <c r="P44">
        <f>IF(Table2[[#This Row],[Defuses]] = MAX(J$42:J$51), 10, 0)</f>
        <v>10</v>
      </c>
    </row>
    <row r="45" spans="1:16" x14ac:dyDescent="0.2">
      <c r="A45" s="4" t="s">
        <v>86</v>
      </c>
      <c r="B45" t="s">
        <v>11</v>
      </c>
      <c r="C45">
        <v>351</v>
      </c>
      <c r="D45">
        <v>24</v>
      </c>
      <c r="E45">
        <v>17</v>
      </c>
      <c r="F45">
        <v>6</v>
      </c>
      <c r="G45">
        <v>80</v>
      </c>
      <c r="H45">
        <v>2</v>
      </c>
      <c r="I45">
        <v>3</v>
      </c>
      <c r="J45">
        <v>0</v>
      </c>
      <c r="K45">
        <v>0</v>
      </c>
      <c r="L45">
        <f>IF(Table2[[#This Row],[Death]] = MIN(E$42:E$51), 10, 0)</f>
        <v>0</v>
      </c>
      <c r="M45">
        <f>IF(Table2[[#This Row],[Assist]] = MAX(F$42:F$51), 10, 0)</f>
        <v>0</v>
      </c>
      <c r="N45">
        <f>IF(Table2[[#This Row],[First Bloods]] = MAX(H$42:H$51), 10, 0)</f>
        <v>0</v>
      </c>
      <c r="O45">
        <f>IF(Table2[[#This Row],[Plants]] = MAX(I$42:I$51), 10, 0)</f>
        <v>0</v>
      </c>
      <c r="P45">
        <f>IF(Table2[[#This Row],[Defuses]] = MAX(J$42:J$51), 10, 0)</f>
        <v>0</v>
      </c>
    </row>
    <row r="46" spans="1:16" x14ac:dyDescent="0.2">
      <c r="A46" s="4" t="s">
        <v>86</v>
      </c>
      <c r="B46" t="s">
        <v>13</v>
      </c>
      <c r="C46">
        <v>129</v>
      </c>
      <c r="D46">
        <v>10</v>
      </c>
      <c r="E46">
        <v>13</v>
      </c>
      <c r="F46">
        <v>6</v>
      </c>
      <c r="G46">
        <v>44</v>
      </c>
      <c r="H46">
        <v>0</v>
      </c>
      <c r="I46">
        <v>3</v>
      </c>
      <c r="J46">
        <v>0</v>
      </c>
      <c r="K46">
        <v>50</v>
      </c>
      <c r="L46">
        <f>IF(Table2[[#This Row],[Death]] = MIN(E$42:E$51), 10, 0)</f>
        <v>0</v>
      </c>
      <c r="M46">
        <f>IF(Table2[[#This Row],[Assist]] = MAX(F$42:F$51), 10, 0)</f>
        <v>0</v>
      </c>
      <c r="N46">
        <f>IF(Table2[[#This Row],[First Bloods]] = MAX(H$42:H$51), 10, 0)</f>
        <v>0</v>
      </c>
      <c r="O46">
        <f>IF(Table2[[#This Row],[Plants]] = MAX(I$42:I$51), 10, 0)</f>
        <v>0</v>
      </c>
      <c r="P46">
        <f>IF(Table2[[#This Row],[Defuses]] = MAX(J$42:J$51), 10, 0)</f>
        <v>0</v>
      </c>
    </row>
    <row r="47" spans="1:16" x14ac:dyDescent="0.2">
      <c r="A47" s="4" t="s">
        <v>86</v>
      </c>
      <c r="B47" t="s">
        <v>1</v>
      </c>
      <c r="C47">
        <v>196</v>
      </c>
      <c r="D47">
        <v>13</v>
      </c>
      <c r="E47">
        <v>17</v>
      </c>
      <c r="F47">
        <v>2</v>
      </c>
      <c r="G47">
        <v>37</v>
      </c>
      <c r="H47">
        <v>5</v>
      </c>
      <c r="I47">
        <v>0</v>
      </c>
      <c r="J47">
        <v>1</v>
      </c>
      <c r="K47">
        <v>50</v>
      </c>
      <c r="L47">
        <f>IF(Table2[[#This Row],[Death]] = MIN(E$42:E$51), 10, 0)</f>
        <v>0</v>
      </c>
      <c r="M47">
        <f>IF(Table2[[#This Row],[Assist]] = MAX(F$42:F$51), 10, 0)</f>
        <v>0</v>
      </c>
      <c r="N47">
        <f>IF(Table2[[#This Row],[First Bloods]] = MAX(H$42:H$51), 10, 0)</f>
        <v>10</v>
      </c>
      <c r="O47">
        <f>IF(Table2[[#This Row],[Plants]] = MAX(I$42:I$51), 10, 0)</f>
        <v>0</v>
      </c>
      <c r="P47">
        <f>IF(Table2[[#This Row],[Defuses]] = MAX(J$42:J$51), 10, 0)</f>
        <v>0</v>
      </c>
    </row>
    <row r="48" spans="1:16" x14ac:dyDescent="0.2">
      <c r="A48" s="4" t="s">
        <v>86</v>
      </c>
      <c r="B48" t="s">
        <v>60</v>
      </c>
      <c r="C48">
        <v>316</v>
      </c>
      <c r="D48">
        <v>21</v>
      </c>
      <c r="E48">
        <v>14</v>
      </c>
      <c r="F48">
        <v>4</v>
      </c>
      <c r="G48">
        <v>75</v>
      </c>
      <c r="H48">
        <v>3</v>
      </c>
      <c r="I48">
        <v>0</v>
      </c>
      <c r="J48">
        <v>2</v>
      </c>
      <c r="K48">
        <v>50</v>
      </c>
      <c r="L48">
        <f>IF(Table2[[#This Row],[Death]] = MIN(E$42:E$51), 10, 0)</f>
        <v>0</v>
      </c>
      <c r="M48">
        <f>IF(Table2[[#This Row],[Assist]] = MAX(F$42:F$51), 10, 0)</f>
        <v>0</v>
      </c>
      <c r="N48">
        <f>IF(Table2[[#This Row],[First Bloods]] = MAX(H$42:H$51), 10, 0)</f>
        <v>0</v>
      </c>
      <c r="O48">
        <f>IF(Table2[[#This Row],[Plants]] = MAX(I$42:I$51), 10, 0)</f>
        <v>0</v>
      </c>
      <c r="P48">
        <f>IF(Table2[[#This Row],[Defuses]] = MAX(J$42:J$51), 10, 0)</f>
        <v>10</v>
      </c>
    </row>
    <row r="49" spans="1:16" x14ac:dyDescent="0.2">
      <c r="A49" s="4" t="s">
        <v>86</v>
      </c>
      <c r="B49" t="s">
        <v>23</v>
      </c>
      <c r="C49">
        <v>247</v>
      </c>
      <c r="D49">
        <v>17</v>
      </c>
      <c r="E49">
        <v>14</v>
      </c>
      <c r="F49">
        <v>8</v>
      </c>
      <c r="G49">
        <v>59</v>
      </c>
      <c r="H49">
        <v>2</v>
      </c>
      <c r="I49">
        <v>5</v>
      </c>
      <c r="J49">
        <v>0</v>
      </c>
      <c r="K49">
        <v>50</v>
      </c>
      <c r="L49">
        <f>IF(Table2[[#This Row],[Death]] = MIN(E$42:E$51), 10, 0)</f>
        <v>0</v>
      </c>
      <c r="M49">
        <f>IF(Table2[[#This Row],[Assist]] = MAX(F$42:F$51), 10, 0)</f>
        <v>10</v>
      </c>
      <c r="N49">
        <f>IF(Table2[[#This Row],[First Bloods]] = MAX(H$42:H$51), 10, 0)</f>
        <v>0</v>
      </c>
      <c r="O49">
        <f>IF(Table2[[#This Row],[Plants]] = MAX(I$42:I$51), 10, 0)</f>
        <v>10</v>
      </c>
      <c r="P49">
        <f>IF(Table2[[#This Row],[Defuses]] = MAX(J$42:J$51), 10, 0)</f>
        <v>0</v>
      </c>
    </row>
    <row r="50" spans="1:16" x14ac:dyDescent="0.2">
      <c r="A50" s="4" t="s">
        <v>86</v>
      </c>
      <c r="B50" t="s">
        <v>21</v>
      </c>
      <c r="C50">
        <v>219</v>
      </c>
      <c r="D50">
        <v>16</v>
      </c>
      <c r="E50">
        <v>16</v>
      </c>
      <c r="F50">
        <v>0</v>
      </c>
      <c r="G50">
        <v>61</v>
      </c>
      <c r="H50">
        <v>5</v>
      </c>
      <c r="I50">
        <v>0</v>
      </c>
      <c r="J50">
        <v>0</v>
      </c>
      <c r="K50">
        <v>0</v>
      </c>
      <c r="L50">
        <f>IF(Table2[[#This Row],[Death]] = MIN(E$42:E$51), 10, 0)</f>
        <v>0</v>
      </c>
      <c r="M50">
        <f>IF(Table2[[#This Row],[Assist]] = MAX(F$42:F$51), 10, 0)</f>
        <v>0</v>
      </c>
      <c r="N50">
        <f>IF(Table2[[#This Row],[First Bloods]] = MAX(H$42:H$51), 10, 0)</f>
        <v>10</v>
      </c>
      <c r="O50">
        <f>IF(Table2[[#This Row],[Plants]] = MAX(I$42:I$51), 10, 0)</f>
        <v>0</v>
      </c>
      <c r="P50">
        <f>IF(Table2[[#This Row],[Defuses]] = MAX(J$42:J$51), 10, 0)</f>
        <v>0</v>
      </c>
    </row>
    <row r="51" spans="1:16" x14ac:dyDescent="0.2">
      <c r="A51" s="7" t="s">
        <v>86</v>
      </c>
      <c r="B51" s="2" t="s">
        <v>17</v>
      </c>
      <c r="C51" s="2">
        <v>102</v>
      </c>
      <c r="D51" s="2">
        <v>7</v>
      </c>
      <c r="E51" s="2">
        <v>16</v>
      </c>
      <c r="F51" s="2">
        <v>5</v>
      </c>
      <c r="G51" s="2">
        <v>25</v>
      </c>
      <c r="H51" s="2">
        <v>1</v>
      </c>
      <c r="I51" s="2">
        <v>1</v>
      </c>
      <c r="J51" s="2">
        <v>0</v>
      </c>
      <c r="K51" s="2">
        <v>0</v>
      </c>
      <c r="L51" s="2">
        <f>IF(Table2[[#This Row],[Death]] = MIN(E$42:E$51), 10, 0)</f>
        <v>0</v>
      </c>
      <c r="M51" s="2">
        <f>IF(Table2[[#This Row],[Assist]] = MAX(F$42:F$51), 10, 0)</f>
        <v>0</v>
      </c>
      <c r="N51" s="2">
        <f>IF(Table2[[#This Row],[First Bloods]] = MAX(H$42:H$51), 10, 0)</f>
        <v>0</v>
      </c>
      <c r="O51" s="2">
        <f>IF(Table2[[#This Row],[Plants]] = MAX(I$42:I$51), 10, 0)</f>
        <v>0</v>
      </c>
      <c r="P51" s="2">
        <f>IF(Table2[[#This Row],[Defuses]] = MAX(J$42:J$51), 10, 0)</f>
        <v>0</v>
      </c>
    </row>
    <row r="52" spans="1:16" x14ac:dyDescent="0.2">
      <c r="A52" s="4" t="s">
        <v>87</v>
      </c>
      <c r="B52" s="1" t="s">
        <v>16</v>
      </c>
      <c r="C52" s="1">
        <v>187</v>
      </c>
      <c r="D52" s="1">
        <v>14</v>
      </c>
      <c r="E52" s="1">
        <v>16</v>
      </c>
      <c r="F52" s="1">
        <v>3</v>
      </c>
      <c r="G52" s="1">
        <v>54</v>
      </c>
      <c r="H52" s="1">
        <v>0</v>
      </c>
      <c r="I52" s="1">
        <v>0</v>
      </c>
      <c r="J52" s="1">
        <v>1</v>
      </c>
      <c r="K52" s="1">
        <v>0</v>
      </c>
      <c r="L52">
        <f>IF(Table2[[#This Row],[Death]] = MIN(E$52:E$61), 10, 0)</f>
        <v>0</v>
      </c>
      <c r="M52">
        <f>IF(Table2[[#This Row],[Assist]] = MAX(F$52:F$61), 10, 0)</f>
        <v>0</v>
      </c>
      <c r="N52">
        <f>IF(Table2[[#This Row],[First Bloods]] = MAX(H$52:H$61), 10, 0)</f>
        <v>0</v>
      </c>
      <c r="O52">
        <f>IF(Table2[[#This Row],[Plants]] = MAX(I$52:I$61), 10, 0)</f>
        <v>0</v>
      </c>
      <c r="P52">
        <f>IF(Table2[[#This Row],[Defuses]] = MAX(J$52:J$61), 10, 0)</f>
        <v>10</v>
      </c>
    </row>
    <row r="53" spans="1:16" x14ac:dyDescent="0.2">
      <c r="A53" s="4" t="s">
        <v>87</v>
      </c>
      <c r="B53" t="s">
        <v>22</v>
      </c>
      <c r="C53">
        <v>219</v>
      </c>
      <c r="D53">
        <v>16</v>
      </c>
      <c r="E53">
        <v>11</v>
      </c>
      <c r="F53">
        <v>3</v>
      </c>
      <c r="G53">
        <v>67</v>
      </c>
      <c r="H53">
        <v>3</v>
      </c>
      <c r="I53">
        <v>0</v>
      </c>
      <c r="J53">
        <v>1</v>
      </c>
      <c r="K53">
        <v>50</v>
      </c>
      <c r="L53">
        <f>IF(Table2[[#This Row],[Death]] = MIN(E$52:E$61), 10, 0)</f>
        <v>10</v>
      </c>
      <c r="M53">
        <f>IF(Table2[[#This Row],[Assist]] = MAX(F$52:F$61), 10, 0)</f>
        <v>0</v>
      </c>
      <c r="N53">
        <f>IF(Table2[[#This Row],[First Bloods]] = MAX(H$52:H$61), 10, 0)</f>
        <v>0</v>
      </c>
      <c r="O53">
        <f>IF(Table2[[#This Row],[Plants]] = MAX(I$52:I$61), 10, 0)</f>
        <v>0</v>
      </c>
      <c r="P53">
        <f>IF(Table2[[#This Row],[Defuses]] = MAX(J$52:J$61), 10, 0)</f>
        <v>10</v>
      </c>
    </row>
    <row r="54" spans="1:16" x14ac:dyDescent="0.2">
      <c r="A54" s="4" t="s">
        <v>87</v>
      </c>
      <c r="B54" t="s">
        <v>14</v>
      </c>
      <c r="C54">
        <v>204</v>
      </c>
      <c r="D54">
        <v>15</v>
      </c>
      <c r="E54">
        <v>18</v>
      </c>
      <c r="F54">
        <v>4</v>
      </c>
      <c r="G54">
        <v>76</v>
      </c>
      <c r="H54">
        <v>2</v>
      </c>
      <c r="I54">
        <v>0</v>
      </c>
      <c r="J54">
        <v>0</v>
      </c>
      <c r="K54">
        <v>0</v>
      </c>
      <c r="L54">
        <f>IF(Table2[[#This Row],[Death]] = MIN(E$52:E$61), 10, 0)</f>
        <v>0</v>
      </c>
      <c r="M54">
        <f>IF(Table2[[#This Row],[Assist]] = MAX(F$52:F$61), 10, 0)</f>
        <v>0</v>
      </c>
      <c r="N54">
        <f>IF(Table2[[#This Row],[First Bloods]] = MAX(H$52:H$61), 10, 0)</f>
        <v>0</v>
      </c>
      <c r="O54">
        <f>IF(Table2[[#This Row],[Plants]] = MAX(I$52:I$61), 10, 0)</f>
        <v>0</v>
      </c>
      <c r="P54">
        <f>IF(Table2[[#This Row],[Defuses]] = MAX(J$52:J$61), 10, 0)</f>
        <v>0</v>
      </c>
    </row>
    <row r="55" spans="1:16" x14ac:dyDescent="0.2">
      <c r="A55" s="4" t="s">
        <v>87</v>
      </c>
      <c r="B55" t="s">
        <v>11</v>
      </c>
      <c r="C55">
        <v>235</v>
      </c>
      <c r="D55">
        <v>17</v>
      </c>
      <c r="E55">
        <v>16</v>
      </c>
      <c r="F55">
        <v>1</v>
      </c>
      <c r="G55">
        <v>58</v>
      </c>
      <c r="H55">
        <v>2</v>
      </c>
      <c r="I55">
        <v>0</v>
      </c>
      <c r="J55">
        <v>0</v>
      </c>
      <c r="K55">
        <v>50</v>
      </c>
      <c r="L55">
        <f>IF(Table2[[#This Row],[Death]] = MIN(E$52:E$61), 10, 0)</f>
        <v>0</v>
      </c>
      <c r="M55">
        <f>IF(Table2[[#This Row],[Assist]] = MAX(F$52:F$61), 10, 0)</f>
        <v>0</v>
      </c>
      <c r="N55">
        <f>IF(Table2[[#This Row],[First Bloods]] = MAX(H$52:H$61), 10, 0)</f>
        <v>0</v>
      </c>
      <c r="O55">
        <f>IF(Table2[[#This Row],[Plants]] = MAX(I$52:I$61), 10, 0)</f>
        <v>0</v>
      </c>
      <c r="P55">
        <f>IF(Table2[[#This Row],[Defuses]] = MAX(J$52:J$61), 10, 0)</f>
        <v>0</v>
      </c>
    </row>
    <row r="56" spans="1:16" x14ac:dyDescent="0.2">
      <c r="A56" s="4" t="s">
        <v>87</v>
      </c>
      <c r="B56" t="s">
        <v>13</v>
      </c>
      <c r="C56">
        <v>204</v>
      </c>
      <c r="D56">
        <v>13</v>
      </c>
      <c r="E56">
        <v>15</v>
      </c>
      <c r="F56">
        <v>5</v>
      </c>
      <c r="G56">
        <v>59</v>
      </c>
      <c r="H56">
        <v>1</v>
      </c>
      <c r="I56">
        <v>2</v>
      </c>
      <c r="J56">
        <v>1</v>
      </c>
      <c r="K56">
        <v>0</v>
      </c>
      <c r="L56">
        <f>IF(Table2[[#This Row],[Death]] = MIN(E$52:E$61), 10, 0)</f>
        <v>0</v>
      </c>
      <c r="M56">
        <f>IF(Table2[[#This Row],[Assist]] = MAX(F$52:F$61), 10, 0)</f>
        <v>0</v>
      </c>
      <c r="N56">
        <f>IF(Table2[[#This Row],[First Bloods]] = MAX(H$52:H$61), 10, 0)</f>
        <v>0</v>
      </c>
      <c r="O56">
        <f>IF(Table2[[#This Row],[Plants]] = MAX(I$52:I$61), 10, 0)</f>
        <v>0</v>
      </c>
      <c r="P56">
        <f>IF(Table2[[#This Row],[Defuses]] = MAX(J$52:J$61), 10, 0)</f>
        <v>10</v>
      </c>
    </row>
    <row r="57" spans="1:16" x14ac:dyDescent="0.2">
      <c r="A57" s="4" t="s">
        <v>87</v>
      </c>
      <c r="B57" t="s">
        <v>1</v>
      </c>
      <c r="C57">
        <v>227</v>
      </c>
      <c r="D57">
        <v>15</v>
      </c>
      <c r="E57">
        <v>18</v>
      </c>
      <c r="F57">
        <v>4</v>
      </c>
      <c r="G57">
        <v>58</v>
      </c>
      <c r="H57">
        <v>3</v>
      </c>
      <c r="I57">
        <v>1</v>
      </c>
      <c r="J57">
        <v>0</v>
      </c>
      <c r="K57">
        <v>0</v>
      </c>
      <c r="L57">
        <f>IF(Table2[[#This Row],[Death]] = MIN(E$52:E$61), 10, 0)</f>
        <v>0</v>
      </c>
      <c r="M57">
        <f>IF(Table2[[#This Row],[Assist]] = MAX(F$52:F$61), 10, 0)</f>
        <v>0</v>
      </c>
      <c r="N57">
        <f>IF(Table2[[#This Row],[First Bloods]] = MAX(H$52:H$61), 10, 0)</f>
        <v>0</v>
      </c>
      <c r="O57">
        <f>IF(Table2[[#This Row],[Plants]] = MAX(I$52:I$61), 10, 0)</f>
        <v>0</v>
      </c>
      <c r="P57">
        <f>IF(Table2[[#This Row],[Defuses]] = MAX(J$52:J$61), 10, 0)</f>
        <v>0</v>
      </c>
    </row>
    <row r="58" spans="1:16" x14ac:dyDescent="0.2">
      <c r="A58" s="4" t="s">
        <v>87</v>
      </c>
      <c r="B58" t="s">
        <v>60</v>
      </c>
      <c r="C58">
        <v>141</v>
      </c>
      <c r="D58">
        <v>10</v>
      </c>
      <c r="E58">
        <v>13</v>
      </c>
      <c r="F58">
        <v>2</v>
      </c>
      <c r="G58">
        <v>72</v>
      </c>
      <c r="H58">
        <v>0</v>
      </c>
      <c r="I58">
        <v>0</v>
      </c>
      <c r="J58">
        <v>1</v>
      </c>
      <c r="K58">
        <v>0</v>
      </c>
      <c r="L58">
        <f>IF(Table2[[#This Row],[Death]] = MIN(E$52:E$61), 10, 0)</f>
        <v>0</v>
      </c>
      <c r="M58">
        <f>IF(Table2[[#This Row],[Assist]] = MAX(F$52:F$61), 10, 0)</f>
        <v>0</v>
      </c>
      <c r="N58">
        <f>IF(Table2[[#This Row],[First Bloods]] = MAX(H$52:H$61), 10, 0)</f>
        <v>0</v>
      </c>
      <c r="O58">
        <f>IF(Table2[[#This Row],[Plants]] = MAX(I$52:I$61), 10, 0)</f>
        <v>0</v>
      </c>
      <c r="P58">
        <f>IF(Table2[[#This Row],[Defuses]] = MAX(J$52:J$61), 10, 0)</f>
        <v>10</v>
      </c>
    </row>
    <row r="59" spans="1:16" x14ac:dyDescent="0.2">
      <c r="A59" s="4" t="s">
        <v>87</v>
      </c>
      <c r="B59" t="s">
        <v>23</v>
      </c>
      <c r="C59">
        <v>178</v>
      </c>
      <c r="D59">
        <v>13</v>
      </c>
      <c r="E59">
        <v>14</v>
      </c>
      <c r="F59">
        <v>7</v>
      </c>
      <c r="G59">
        <v>55</v>
      </c>
      <c r="H59">
        <v>1</v>
      </c>
      <c r="I59">
        <v>2</v>
      </c>
      <c r="J59">
        <v>0</v>
      </c>
      <c r="K59">
        <v>50</v>
      </c>
      <c r="L59">
        <f>IF(Table2[[#This Row],[Death]] = MIN(E$52:E$61), 10, 0)</f>
        <v>0</v>
      </c>
      <c r="M59">
        <f>IF(Table2[[#This Row],[Assist]] = MAX(F$52:F$61), 10, 0)</f>
        <v>10</v>
      </c>
      <c r="N59">
        <f>IF(Table2[[#This Row],[First Bloods]] = MAX(H$52:H$61), 10, 0)</f>
        <v>0</v>
      </c>
      <c r="O59">
        <f>IF(Table2[[#This Row],[Plants]] = MAX(I$52:I$61), 10, 0)</f>
        <v>0</v>
      </c>
      <c r="P59">
        <f>IF(Table2[[#This Row],[Defuses]] = MAX(J$52:J$61), 10, 0)</f>
        <v>0</v>
      </c>
    </row>
    <row r="60" spans="1:16" x14ac:dyDescent="0.2">
      <c r="A60" s="4" t="s">
        <v>87</v>
      </c>
      <c r="B60" t="s">
        <v>21</v>
      </c>
      <c r="C60">
        <v>344</v>
      </c>
      <c r="D60">
        <v>25</v>
      </c>
      <c r="E60">
        <v>15</v>
      </c>
      <c r="F60">
        <v>1</v>
      </c>
      <c r="G60">
        <v>90</v>
      </c>
      <c r="H60">
        <v>8</v>
      </c>
      <c r="I60">
        <v>0</v>
      </c>
      <c r="J60">
        <v>0</v>
      </c>
      <c r="K60">
        <v>50</v>
      </c>
      <c r="L60">
        <f>IF(Table2[[#This Row],[Death]] = MIN(E$52:E$61), 10, 0)</f>
        <v>0</v>
      </c>
      <c r="M60">
        <f>IF(Table2[[#This Row],[Assist]] = MAX(F$52:F$61), 10, 0)</f>
        <v>0</v>
      </c>
      <c r="N60">
        <f>IF(Table2[[#This Row],[First Bloods]] = MAX(H$52:H$61), 10, 0)</f>
        <v>10</v>
      </c>
      <c r="O60">
        <f>IF(Table2[[#This Row],[Plants]] = MAX(I$52:I$61), 10, 0)</f>
        <v>0</v>
      </c>
      <c r="P60">
        <f>IF(Table2[[#This Row],[Defuses]] = MAX(J$52:J$61), 10, 0)</f>
        <v>0</v>
      </c>
    </row>
    <row r="61" spans="1:16" x14ac:dyDescent="0.2">
      <c r="A61" s="7" t="s">
        <v>87</v>
      </c>
      <c r="B61" s="2" t="s">
        <v>17</v>
      </c>
      <c r="C61" s="2">
        <v>114</v>
      </c>
      <c r="D61" s="2">
        <v>8</v>
      </c>
      <c r="E61" s="2">
        <v>11</v>
      </c>
      <c r="F61" s="2">
        <v>3</v>
      </c>
      <c r="G61" s="2">
        <v>31</v>
      </c>
      <c r="H61" s="2">
        <v>0</v>
      </c>
      <c r="I61" s="2">
        <v>4</v>
      </c>
      <c r="J61" s="2">
        <v>0</v>
      </c>
      <c r="K61" s="2">
        <v>50</v>
      </c>
      <c r="L61" s="2">
        <f>IF(Table2[[#This Row],[Death]] = MIN(E$52:E$61), 10, 0)</f>
        <v>10</v>
      </c>
      <c r="M61" s="2">
        <f>IF(Table2[[#This Row],[Assist]] = MAX(F$52:F$61), 10, 0)</f>
        <v>0</v>
      </c>
      <c r="N61" s="2">
        <f>IF(Table2[[#This Row],[First Bloods]] = MAX(H$52:H$61), 10, 0)</f>
        <v>0</v>
      </c>
      <c r="O61" s="2">
        <f>IF(Table2[[#This Row],[Plants]] = MAX(I$52:I$61), 10, 0)</f>
        <v>10</v>
      </c>
      <c r="P61" s="2">
        <f>IF(Table2[[#This Row],[Defuses]] = MAX(J$52:J$61), 10, 0)</f>
        <v>0</v>
      </c>
    </row>
    <row r="62" spans="1:16" x14ac:dyDescent="0.2">
      <c r="A62" s="4" t="s">
        <v>29</v>
      </c>
      <c r="B62" t="s">
        <v>60</v>
      </c>
      <c r="C62">
        <v>296</v>
      </c>
      <c r="D62">
        <v>22</v>
      </c>
      <c r="E62">
        <v>16</v>
      </c>
      <c r="F62">
        <v>3</v>
      </c>
      <c r="G62">
        <v>82</v>
      </c>
      <c r="H62">
        <v>4</v>
      </c>
      <c r="I62">
        <v>0</v>
      </c>
      <c r="J62">
        <v>0</v>
      </c>
      <c r="K62">
        <v>0</v>
      </c>
      <c r="L62">
        <f>IF(Table2[[#This Row],[Death]] = MIN(E$62:E$71), 10, 0)</f>
        <v>0</v>
      </c>
      <c r="M62">
        <f>IF(Table2[[#This Row],[Assist]] = MAX(F$62:F$71), 10, 0)</f>
        <v>0</v>
      </c>
      <c r="N62">
        <f>IF(Table2[[#This Row],[First Bloods]] = MAX(H$62:H$71), 10, 0)</f>
        <v>10</v>
      </c>
      <c r="O62">
        <f>IF(Table2[[#This Row],[Plants]] = MAX(I$62:I$71), 10, 0)</f>
        <v>0</v>
      </c>
      <c r="P62">
        <f>IF(Table2[[#This Row],[Defuses]] = MAX(J$62:J$71), 10, 0)</f>
        <v>0</v>
      </c>
    </row>
    <row r="63" spans="1:16" x14ac:dyDescent="0.2">
      <c r="A63" s="4" t="s">
        <v>29</v>
      </c>
      <c r="B63" t="s">
        <v>13</v>
      </c>
      <c r="C63">
        <v>253</v>
      </c>
      <c r="D63">
        <v>20</v>
      </c>
      <c r="E63">
        <v>13</v>
      </c>
      <c r="F63">
        <v>3</v>
      </c>
      <c r="G63">
        <v>65</v>
      </c>
      <c r="H63">
        <v>4</v>
      </c>
      <c r="I63">
        <v>3</v>
      </c>
      <c r="J63">
        <v>0</v>
      </c>
      <c r="K63">
        <v>50</v>
      </c>
      <c r="L63">
        <f>IF(Table2[[#This Row],[Death]] = MIN(E$62:E$71), 10, 0)</f>
        <v>0</v>
      </c>
      <c r="M63">
        <f>IF(Table2[[#This Row],[Assist]] = MAX(F$62:F$71), 10, 0)</f>
        <v>0</v>
      </c>
      <c r="N63">
        <f>IF(Table2[[#This Row],[First Bloods]] = MAX(H$62:H$71), 10, 0)</f>
        <v>10</v>
      </c>
      <c r="O63">
        <f>IF(Table2[[#This Row],[Plants]] = MAX(I$62:I$71), 10, 0)</f>
        <v>0</v>
      </c>
      <c r="P63">
        <f>IF(Table2[[#This Row],[Defuses]] = MAX(J$62:J$71), 10, 0)</f>
        <v>0</v>
      </c>
    </row>
    <row r="64" spans="1:16" x14ac:dyDescent="0.2">
      <c r="A64" s="4" t="s">
        <v>29</v>
      </c>
      <c r="B64" t="s">
        <v>32</v>
      </c>
      <c r="C64">
        <v>252</v>
      </c>
      <c r="D64">
        <v>19</v>
      </c>
      <c r="E64">
        <v>16</v>
      </c>
      <c r="F64">
        <v>11</v>
      </c>
      <c r="G64">
        <v>66</v>
      </c>
      <c r="H64">
        <v>2</v>
      </c>
      <c r="I64">
        <v>1</v>
      </c>
      <c r="J64">
        <v>1</v>
      </c>
      <c r="K64">
        <v>50</v>
      </c>
      <c r="L64">
        <f>IF(Table2[[#This Row],[Death]] = MIN(E$62:E$71), 10, 0)</f>
        <v>0</v>
      </c>
      <c r="M64">
        <f>IF(Table2[[#This Row],[Assist]] = MAX(F$62:F$71), 10, 0)</f>
        <v>10</v>
      </c>
      <c r="N64">
        <f>IF(Table2[[#This Row],[First Bloods]] = MAX(H$62:H$71), 10, 0)</f>
        <v>0</v>
      </c>
      <c r="O64">
        <f>IF(Table2[[#This Row],[Plants]] = MAX(I$62:I$71), 10, 0)</f>
        <v>0</v>
      </c>
      <c r="P64">
        <f>IF(Table2[[#This Row],[Defuses]] = MAX(J$62:J$71), 10, 0)</f>
        <v>10</v>
      </c>
    </row>
    <row r="65" spans="1:16" x14ac:dyDescent="0.2">
      <c r="A65" s="4" t="s">
        <v>29</v>
      </c>
      <c r="B65" t="s">
        <v>23</v>
      </c>
      <c r="C65">
        <v>233</v>
      </c>
      <c r="D65">
        <v>18</v>
      </c>
      <c r="E65">
        <v>16</v>
      </c>
      <c r="F65">
        <v>4</v>
      </c>
      <c r="G65">
        <v>65</v>
      </c>
      <c r="H65">
        <v>4</v>
      </c>
      <c r="I65">
        <v>7</v>
      </c>
      <c r="J65">
        <v>1</v>
      </c>
      <c r="K65">
        <v>0</v>
      </c>
      <c r="L65">
        <f>IF(Table2[[#This Row],[Death]] = MIN(E$62:E$71), 10, 0)</f>
        <v>0</v>
      </c>
      <c r="M65">
        <f>IF(Table2[[#This Row],[Assist]] = MAX(F$62:F$71), 10, 0)</f>
        <v>0</v>
      </c>
      <c r="N65">
        <f>IF(Table2[[#This Row],[First Bloods]] = MAX(H$62:H$71), 10, 0)</f>
        <v>10</v>
      </c>
      <c r="O65">
        <f>IF(Table2[[#This Row],[Plants]] = MAX(I$62:I$71), 10, 0)</f>
        <v>10</v>
      </c>
      <c r="P65">
        <f>IF(Table2[[#This Row],[Defuses]] = MAX(J$62:J$71), 10, 0)</f>
        <v>10</v>
      </c>
    </row>
    <row r="66" spans="1:16" x14ac:dyDescent="0.2">
      <c r="A66" s="4" t="s">
        <v>29</v>
      </c>
      <c r="B66" t="s">
        <v>21</v>
      </c>
      <c r="C66">
        <v>224</v>
      </c>
      <c r="D66">
        <v>18</v>
      </c>
      <c r="E66">
        <v>16</v>
      </c>
      <c r="F66">
        <v>3</v>
      </c>
      <c r="G66">
        <v>57</v>
      </c>
      <c r="H66">
        <v>4</v>
      </c>
      <c r="I66">
        <v>2</v>
      </c>
      <c r="J66">
        <v>0</v>
      </c>
      <c r="K66">
        <v>50</v>
      </c>
      <c r="L66">
        <f>IF(Table2[[#This Row],[Death]] = MIN(E$62:E$71), 10, 0)</f>
        <v>0</v>
      </c>
      <c r="M66">
        <f>IF(Table2[[#This Row],[Assist]] = MAX(F$62:F$71), 10, 0)</f>
        <v>0</v>
      </c>
      <c r="N66">
        <f>IF(Table2[[#This Row],[First Bloods]] = MAX(H$62:H$71), 10, 0)</f>
        <v>10</v>
      </c>
      <c r="O66">
        <f>IF(Table2[[#This Row],[Plants]] = MAX(I$62:I$71), 10, 0)</f>
        <v>0</v>
      </c>
      <c r="P66">
        <f>IF(Table2[[#This Row],[Defuses]] = MAX(J$62:J$71), 10, 0)</f>
        <v>0</v>
      </c>
    </row>
    <row r="67" spans="1:16" x14ac:dyDescent="0.2">
      <c r="A67" s="4" t="s">
        <v>29</v>
      </c>
      <c r="B67" t="s">
        <v>16</v>
      </c>
      <c r="C67">
        <v>185</v>
      </c>
      <c r="D67">
        <v>13</v>
      </c>
      <c r="E67">
        <v>15</v>
      </c>
      <c r="F67">
        <v>6</v>
      </c>
      <c r="G67">
        <v>63</v>
      </c>
      <c r="H67">
        <v>1</v>
      </c>
      <c r="I67">
        <v>0</v>
      </c>
      <c r="J67">
        <v>0</v>
      </c>
      <c r="K67">
        <v>0</v>
      </c>
      <c r="L67">
        <f>IF(Table2[[#This Row],[Death]] = MIN(E$62:E$71), 10, 0)</f>
        <v>0</v>
      </c>
      <c r="M67">
        <f>IF(Table2[[#This Row],[Assist]] = MAX(F$62:F$71), 10, 0)</f>
        <v>0</v>
      </c>
      <c r="N67">
        <f>IF(Table2[[#This Row],[First Bloods]] = MAX(H$62:H$71), 10, 0)</f>
        <v>0</v>
      </c>
      <c r="O67">
        <f>IF(Table2[[#This Row],[Plants]] = MAX(I$62:I$71), 10, 0)</f>
        <v>0</v>
      </c>
      <c r="P67">
        <f>IF(Table2[[#This Row],[Defuses]] = MAX(J$62:J$71), 10, 0)</f>
        <v>0</v>
      </c>
    </row>
    <row r="68" spans="1:16" x14ac:dyDescent="0.2">
      <c r="A68" s="4" t="s">
        <v>29</v>
      </c>
      <c r="B68" t="s">
        <v>55</v>
      </c>
      <c r="C68">
        <v>162</v>
      </c>
      <c r="D68">
        <v>14</v>
      </c>
      <c r="E68">
        <v>15</v>
      </c>
      <c r="F68">
        <v>4</v>
      </c>
      <c r="G68">
        <v>44</v>
      </c>
      <c r="H68">
        <v>0</v>
      </c>
      <c r="I68">
        <v>1</v>
      </c>
      <c r="J68">
        <v>1</v>
      </c>
      <c r="K68">
        <v>50</v>
      </c>
      <c r="L68">
        <f>IF(Table2[[#This Row],[Death]] = MIN(E$62:E$71), 10, 0)</f>
        <v>0</v>
      </c>
      <c r="M68">
        <f>IF(Table2[[#This Row],[Assist]] = MAX(F$62:F$71), 10, 0)</f>
        <v>0</v>
      </c>
      <c r="N68">
        <f>IF(Table2[[#This Row],[First Bloods]] = MAX(H$62:H$71), 10, 0)</f>
        <v>0</v>
      </c>
      <c r="O68">
        <f>IF(Table2[[#This Row],[Plants]] = MAX(I$62:I$71), 10, 0)</f>
        <v>0</v>
      </c>
      <c r="P68">
        <f>IF(Table2[[#This Row],[Defuses]] = MAX(J$62:J$71), 10, 0)</f>
        <v>10</v>
      </c>
    </row>
    <row r="69" spans="1:16" x14ac:dyDescent="0.2">
      <c r="A69" s="4" t="s">
        <v>29</v>
      </c>
      <c r="B69" t="s">
        <v>1</v>
      </c>
      <c r="C69">
        <v>146</v>
      </c>
      <c r="D69">
        <v>9</v>
      </c>
      <c r="E69">
        <v>20</v>
      </c>
      <c r="F69">
        <v>6</v>
      </c>
      <c r="G69">
        <v>39</v>
      </c>
      <c r="H69">
        <v>2</v>
      </c>
      <c r="I69">
        <v>0</v>
      </c>
      <c r="J69">
        <v>0</v>
      </c>
      <c r="K69">
        <v>0</v>
      </c>
      <c r="L69">
        <f>IF(Table2[[#This Row],[Death]] = MIN(E$62:E$71), 10, 0)</f>
        <v>0</v>
      </c>
      <c r="M69">
        <f>IF(Table2[[#This Row],[Assist]] = MAX(F$62:F$71), 10, 0)</f>
        <v>0</v>
      </c>
      <c r="N69">
        <f>IF(Table2[[#This Row],[First Bloods]] = MAX(H$62:H$71), 10, 0)</f>
        <v>0</v>
      </c>
      <c r="O69">
        <f>IF(Table2[[#This Row],[Plants]] = MAX(I$62:I$71), 10, 0)</f>
        <v>0</v>
      </c>
      <c r="P69">
        <f>IF(Table2[[#This Row],[Defuses]] = MAX(J$62:J$71), 10, 0)</f>
        <v>0</v>
      </c>
    </row>
    <row r="70" spans="1:16" x14ac:dyDescent="0.2">
      <c r="A70" s="4" t="s">
        <v>29</v>
      </c>
      <c r="B70" t="s">
        <v>22</v>
      </c>
      <c r="C70">
        <v>144</v>
      </c>
      <c r="D70">
        <v>12</v>
      </c>
      <c r="E70">
        <v>12</v>
      </c>
      <c r="F70">
        <v>8</v>
      </c>
      <c r="G70">
        <v>46</v>
      </c>
      <c r="H70">
        <v>1</v>
      </c>
      <c r="I70">
        <v>1</v>
      </c>
      <c r="J70">
        <v>1</v>
      </c>
      <c r="K70">
        <v>50</v>
      </c>
      <c r="L70">
        <f>IF(Table2[[#This Row],[Death]] = MIN(E$62:E$71), 10, 0)</f>
        <v>10</v>
      </c>
      <c r="M70">
        <f>IF(Table2[[#This Row],[Assist]] = MAX(F$62:F$71), 10, 0)</f>
        <v>0</v>
      </c>
      <c r="N70">
        <f>IF(Table2[[#This Row],[First Bloods]] = MAX(H$62:H$71), 10, 0)</f>
        <v>0</v>
      </c>
      <c r="O70">
        <f>IF(Table2[[#This Row],[Plants]] = MAX(I$62:I$71), 10, 0)</f>
        <v>0</v>
      </c>
      <c r="P70">
        <f>IF(Table2[[#This Row],[Defuses]] = MAX(J$62:J$71), 10, 0)</f>
        <v>10</v>
      </c>
    </row>
    <row r="71" spans="1:16" x14ac:dyDescent="0.2">
      <c r="A71" s="7" t="s">
        <v>29</v>
      </c>
      <c r="B71" s="2" t="s">
        <v>33</v>
      </c>
      <c r="C71" s="2">
        <v>106</v>
      </c>
      <c r="D71" s="2">
        <v>10</v>
      </c>
      <c r="E71" s="2">
        <v>16</v>
      </c>
      <c r="F71" s="2">
        <v>2</v>
      </c>
      <c r="G71" s="2">
        <v>28</v>
      </c>
      <c r="H71" s="2">
        <v>0</v>
      </c>
      <c r="I71" s="2">
        <v>0</v>
      </c>
      <c r="J71" s="2">
        <v>0</v>
      </c>
      <c r="K71" s="2">
        <v>0</v>
      </c>
      <c r="L71" s="2">
        <f>IF(Table2[[#This Row],[Death]] = MIN(E$62:E$71), 10, 0)</f>
        <v>0</v>
      </c>
      <c r="M71" s="2">
        <f>IF(Table2[[#This Row],[Assist]] = MAX(F$62:F$71), 10, 0)</f>
        <v>0</v>
      </c>
      <c r="N71" s="2">
        <f>IF(Table2[[#This Row],[First Bloods]] = MAX(H$62:H$71), 10, 0)</f>
        <v>0</v>
      </c>
      <c r="O71" s="2">
        <f>IF(Table2[[#This Row],[Plants]] = MAX(I$62:I$71), 10, 0)</f>
        <v>0</v>
      </c>
      <c r="P71" s="2">
        <f>IF(Table2[[#This Row],[Defuses]] = MAX(J$62:J$71), 10, 0)</f>
        <v>0</v>
      </c>
    </row>
    <row r="72" spans="1:16" x14ac:dyDescent="0.2">
      <c r="A72" s="4" t="s">
        <v>30</v>
      </c>
      <c r="B72" t="s">
        <v>32</v>
      </c>
      <c r="C72">
        <v>458</v>
      </c>
      <c r="D72">
        <v>23</v>
      </c>
      <c r="E72">
        <v>5</v>
      </c>
      <c r="F72">
        <v>16</v>
      </c>
      <c r="G72">
        <v>161</v>
      </c>
      <c r="H72">
        <v>2</v>
      </c>
      <c r="I72">
        <v>4</v>
      </c>
      <c r="J72">
        <v>0</v>
      </c>
      <c r="K72">
        <v>50</v>
      </c>
      <c r="L72">
        <f>IF(Table2[[#This Row],[Death]] = MIN(E$72:E$81), 10, 0)</f>
        <v>10</v>
      </c>
      <c r="M72">
        <f>IF(Table2[[#This Row],[Assist]] = MAX(F$72:F$81), 10, 0)</f>
        <v>10</v>
      </c>
      <c r="N72">
        <f>IF(Table2[[#This Row],[First Bloods]] = MAX(H$72:H$81), 10, 0)</f>
        <v>0</v>
      </c>
      <c r="O72">
        <f>IF(Table2[[#This Row],[Plants]] = MAX(I$72:I$81), 10, 0)</f>
        <v>0</v>
      </c>
      <c r="P72">
        <f>IF(Table2[[#This Row],[Defuses]] = MAX(J$72:J$81), 10, 0)</f>
        <v>0</v>
      </c>
    </row>
    <row r="73" spans="1:16" x14ac:dyDescent="0.2">
      <c r="A73" s="4" t="s">
        <v>30</v>
      </c>
      <c r="B73" t="s">
        <v>21</v>
      </c>
      <c r="C73">
        <v>326</v>
      </c>
      <c r="D73">
        <v>18</v>
      </c>
      <c r="E73">
        <v>8</v>
      </c>
      <c r="F73">
        <v>1</v>
      </c>
      <c r="G73">
        <v>82</v>
      </c>
      <c r="H73">
        <v>5</v>
      </c>
      <c r="I73">
        <v>0</v>
      </c>
      <c r="J73">
        <v>0</v>
      </c>
      <c r="K73">
        <v>50</v>
      </c>
      <c r="L73">
        <f>IF(Table2[[#This Row],[Death]] = MIN(E$72:E$81), 10, 0)</f>
        <v>0</v>
      </c>
      <c r="M73">
        <f>IF(Table2[[#This Row],[Assist]] = MAX(F$72:F$81), 10, 0)</f>
        <v>0</v>
      </c>
      <c r="N73">
        <f>IF(Table2[[#This Row],[First Bloods]] = MAX(H$72:H$81), 10, 0)</f>
        <v>10</v>
      </c>
      <c r="O73">
        <f>IF(Table2[[#This Row],[Plants]] = MAX(I$72:I$81), 10, 0)</f>
        <v>0</v>
      </c>
      <c r="P73">
        <f>IF(Table2[[#This Row],[Defuses]] = MAX(J$72:J$81), 10, 0)</f>
        <v>0</v>
      </c>
    </row>
    <row r="74" spans="1:16" x14ac:dyDescent="0.2">
      <c r="A74" s="4" t="s">
        <v>30</v>
      </c>
      <c r="B74" t="s">
        <v>13</v>
      </c>
      <c r="C74">
        <v>288</v>
      </c>
      <c r="D74">
        <v>15</v>
      </c>
      <c r="E74">
        <v>6</v>
      </c>
      <c r="F74">
        <v>3</v>
      </c>
      <c r="G74">
        <v>82</v>
      </c>
      <c r="H74">
        <v>2</v>
      </c>
      <c r="I74">
        <v>0</v>
      </c>
      <c r="J74">
        <v>0</v>
      </c>
      <c r="K74">
        <v>50</v>
      </c>
      <c r="L74">
        <f>IF(Table2[[#This Row],[Death]] = MIN(E$72:E$81), 10, 0)</f>
        <v>0</v>
      </c>
      <c r="M74">
        <f>IF(Table2[[#This Row],[Assist]] = MAX(F$72:F$81), 10, 0)</f>
        <v>0</v>
      </c>
      <c r="N74">
        <f>IF(Table2[[#This Row],[First Bloods]] = MAX(H$72:H$81), 10, 0)</f>
        <v>0</v>
      </c>
      <c r="O74">
        <f>IF(Table2[[#This Row],[Plants]] = MAX(I$72:I$81), 10, 0)</f>
        <v>0</v>
      </c>
      <c r="P74">
        <f>IF(Table2[[#This Row],[Defuses]] = MAX(J$72:J$81), 10, 0)</f>
        <v>0</v>
      </c>
    </row>
    <row r="75" spans="1:16" x14ac:dyDescent="0.2">
      <c r="A75" s="4" t="s">
        <v>30</v>
      </c>
      <c r="B75" t="s">
        <v>23</v>
      </c>
      <c r="C75">
        <v>228</v>
      </c>
      <c r="D75">
        <v>12</v>
      </c>
      <c r="E75">
        <v>12</v>
      </c>
      <c r="F75">
        <v>3</v>
      </c>
      <c r="G75">
        <v>77</v>
      </c>
      <c r="H75">
        <v>2</v>
      </c>
      <c r="I75">
        <v>0</v>
      </c>
      <c r="J75">
        <v>0</v>
      </c>
      <c r="K75">
        <v>0</v>
      </c>
      <c r="L75">
        <f>IF(Table2[[#This Row],[Death]] = MIN(E$72:E$81), 10, 0)</f>
        <v>0</v>
      </c>
      <c r="M75">
        <f>IF(Table2[[#This Row],[Assist]] = MAX(F$72:F$81), 10, 0)</f>
        <v>0</v>
      </c>
      <c r="N75">
        <f>IF(Table2[[#This Row],[First Bloods]] = MAX(H$72:H$81), 10, 0)</f>
        <v>0</v>
      </c>
      <c r="O75">
        <f>IF(Table2[[#This Row],[Plants]] = MAX(I$72:I$81), 10, 0)</f>
        <v>0</v>
      </c>
      <c r="P75">
        <f>IF(Table2[[#This Row],[Defuses]] = MAX(J$72:J$81), 10, 0)</f>
        <v>0</v>
      </c>
    </row>
    <row r="76" spans="1:16" x14ac:dyDescent="0.2">
      <c r="A76" s="4" t="s">
        <v>30</v>
      </c>
      <c r="B76" t="s">
        <v>22</v>
      </c>
      <c r="C76">
        <v>181</v>
      </c>
      <c r="D76">
        <v>9</v>
      </c>
      <c r="E76">
        <v>8</v>
      </c>
      <c r="F76">
        <v>6</v>
      </c>
      <c r="G76">
        <v>80</v>
      </c>
      <c r="H76">
        <v>1</v>
      </c>
      <c r="I76">
        <v>0</v>
      </c>
      <c r="J76">
        <v>0</v>
      </c>
      <c r="K76">
        <v>50</v>
      </c>
      <c r="L76">
        <f>IF(Table2[[#This Row],[Death]] = MIN(E$72:E$81), 10, 0)</f>
        <v>0</v>
      </c>
      <c r="M76">
        <f>IF(Table2[[#This Row],[Assist]] = MAX(F$72:F$81), 10, 0)</f>
        <v>0</v>
      </c>
      <c r="N76">
        <f>IF(Table2[[#This Row],[First Bloods]] = MAX(H$72:H$81), 10, 0)</f>
        <v>0</v>
      </c>
      <c r="O76">
        <f>IF(Table2[[#This Row],[Plants]] = MAX(I$72:I$81), 10, 0)</f>
        <v>0</v>
      </c>
      <c r="P76">
        <f>IF(Table2[[#This Row],[Defuses]] = MAX(J$72:J$81), 10, 0)</f>
        <v>0</v>
      </c>
    </row>
    <row r="77" spans="1:16" x14ac:dyDescent="0.2">
      <c r="A77" s="4" t="s">
        <v>30</v>
      </c>
      <c r="B77" t="s">
        <v>60</v>
      </c>
      <c r="C77">
        <v>172</v>
      </c>
      <c r="D77">
        <v>8</v>
      </c>
      <c r="E77">
        <v>14</v>
      </c>
      <c r="F77">
        <v>1</v>
      </c>
      <c r="G77">
        <v>43</v>
      </c>
      <c r="H77">
        <v>0</v>
      </c>
      <c r="I77">
        <v>0</v>
      </c>
      <c r="J77">
        <v>0</v>
      </c>
      <c r="K77">
        <v>0</v>
      </c>
      <c r="L77">
        <f>IF(Table2[[#This Row],[Death]] = MIN(E$72:E$81), 10, 0)</f>
        <v>0</v>
      </c>
      <c r="M77">
        <f>IF(Table2[[#This Row],[Assist]] = MAX(F$72:F$81), 10, 0)</f>
        <v>0</v>
      </c>
      <c r="N77">
        <f>IF(Table2[[#This Row],[First Bloods]] = MAX(H$72:H$81), 10, 0)</f>
        <v>0</v>
      </c>
      <c r="O77">
        <f>IF(Table2[[#This Row],[Plants]] = MAX(I$72:I$81), 10, 0)</f>
        <v>0</v>
      </c>
      <c r="P77">
        <f>IF(Table2[[#This Row],[Defuses]] = MAX(J$72:J$81), 10, 0)</f>
        <v>0</v>
      </c>
    </row>
    <row r="78" spans="1:16" x14ac:dyDescent="0.2">
      <c r="A78" s="4" t="s">
        <v>30</v>
      </c>
      <c r="B78" t="s">
        <v>16</v>
      </c>
      <c r="C78">
        <v>144</v>
      </c>
      <c r="D78">
        <v>6</v>
      </c>
      <c r="E78">
        <v>14</v>
      </c>
      <c r="F78">
        <v>5</v>
      </c>
      <c r="G78">
        <v>35</v>
      </c>
      <c r="H78">
        <v>2</v>
      </c>
      <c r="I78">
        <v>1</v>
      </c>
      <c r="J78">
        <v>0</v>
      </c>
      <c r="K78">
        <v>0</v>
      </c>
      <c r="L78">
        <f>IF(Table2[[#This Row],[Death]] = MIN(E$72:E$81), 10, 0)</f>
        <v>0</v>
      </c>
      <c r="M78">
        <f>IF(Table2[[#This Row],[Assist]] = MAX(F$72:F$81), 10, 0)</f>
        <v>0</v>
      </c>
      <c r="N78">
        <f>IF(Table2[[#This Row],[First Bloods]] = MAX(H$72:H$81), 10, 0)</f>
        <v>0</v>
      </c>
      <c r="O78">
        <f>IF(Table2[[#This Row],[Plants]] = MAX(I$72:I$81), 10, 0)</f>
        <v>0</v>
      </c>
      <c r="P78">
        <f>IF(Table2[[#This Row],[Defuses]] = MAX(J$72:J$81), 10, 0)</f>
        <v>0</v>
      </c>
    </row>
    <row r="79" spans="1:16" x14ac:dyDescent="0.2">
      <c r="A79" s="4" t="s">
        <v>30</v>
      </c>
      <c r="B79" t="s">
        <v>33</v>
      </c>
      <c r="C79">
        <v>129</v>
      </c>
      <c r="D79">
        <v>6</v>
      </c>
      <c r="E79">
        <v>14</v>
      </c>
      <c r="F79">
        <v>1</v>
      </c>
      <c r="G79">
        <v>34</v>
      </c>
      <c r="H79">
        <v>0</v>
      </c>
      <c r="I79">
        <v>0</v>
      </c>
      <c r="J79">
        <v>0</v>
      </c>
      <c r="K79">
        <v>0</v>
      </c>
      <c r="L79">
        <f>IF(Table2[[#This Row],[Death]] = MIN(E$72:E$81), 10, 0)</f>
        <v>0</v>
      </c>
      <c r="M79">
        <f>IF(Table2[[#This Row],[Assist]] = MAX(F$72:F$81), 10, 0)</f>
        <v>0</v>
      </c>
      <c r="N79">
        <f>IF(Table2[[#This Row],[First Bloods]] = MAX(H$72:H$81), 10, 0)</f>
        <v>0</v>
      </c>
      <c r="O79">
        <f>IF(Table2[[#This Row],[Plants]] = MAX(I$72:I$81), 10, 0)</f>
        <v>0</v>
      </c>
      <c r="P79">
        <f>IF(Table2[[#This Row],[Defuses]] = MAX(J$72:J$81), 10, 0)</f>
        <v>0</v>
      </c>
    </row>
    <row r="80" spans="1:16" x14ac:dyDescent="0.2">
      <c r="A80" s="4" t="s">
        <v>30</v>
      </c>
      <c r="B80" t="s">
        <v>1</v>
      </c>
      <c r="C80">
        <v>117</v>
      </c>
      <c r="D80">
        <v>3</v>
      </c>
      <c r="E80">
        <v>14</v>
      </c>
      <c r="F80">
        <v>4</v>
      </c>
      <c r="G80">
        <v>39</v>
      </c>
      <c r="H80">
        <v>0</v>
      </c>
      <c r="I80">
        <v>0</v>
      </c>
      <c r="J80">
        <v>0</v>
      </c>
      <c r="K80">
        <v>0</v>
      </c>
      <c r="L80">
        <f>IF(Table2[[#This Row],[Death]] = MIN(E$72:E$81), 10, 0)</f>
        <v>0</v>
      </c>
      <c r="M80">
        <f>IF(Table2[[#This Row],[Assist]] = MAX(F$72:F$81), 10, 0)</f>
        <v>0</v>
      </c>
      <c r="N80">
        <f>IF(Table2[[#This Row],[First Bloods]] = MAX(H$72:H$81), 10, 0)</f>
        <v>0</v>
      </c>
      <c r="O80">
        <f>IF(Table2[[#This Row],[Plants]] = MAX(I$72:I$81), 10, 0)</f>
        <v>0</v>
      </c>
      <c r="P80">
        <f>IF(Table2[[#This Row],[Defuses]] = MAX(J$72:J$81), 10, 0)</f>
        <v>0</v>
      </c>
    </row>
    <row r="81" spans="1:16" x14ac:dyDescent="0.2">
      <c r="A81" s="7" t="s">
        <v>30</v>
      </c>
      <c r="B81" s="2" t="s">
        <v>15</v>
      </c>
      <c r="C81" s="2">
        <v>62</v>
      </c>
      <c r="D81" s="2">
        <v>3</v>
      </c>
      <c r="E81" s="2">
        <v>8</v>
      </c>
      <c r="F81" s="2">
        <v>9</v>
      </c>
      <c r="G81" s="2">
        <v>8</v>
      </c>
      <c r="H81" s="2">
        <v>0</v>
      </c>
      <c r="I81" s="2">
        <v>5</v>
      </c>
      <c r="J81" s="2">
        <v>1</v>
      </c>
      <c r="K81" s="2">
        <v>0</v>
      </c>
      <c r="L81" s="2">
        <f>IF(Table2[[#This Row],[Death]] = MIN(E$72:E$81), 10, 0)</f>
        <v>0</v>
      </c>
      <c r="M81" s="2">
        <f>IF(Table2[[#This Row],[Assist]] = MAX(F$72:F$81), 10, 0)</f>
        <v>0</v>
      </c>
      <c r="N81" s="2">
        <f>IF(Table2[[#This Row],[First Bloods]] = MAX(H$72:H$81), 10, 0)</f>
        <v>0</v>
      </c>
      <c r="O81" s="2">
        <f>IF(Table2[[#This Row],[Plants]] = MAX(I$72:I$81), 10, 0)</f>
        <v>10</v>
      </c>
      <c r="P81" s="2">
        <f>IF(Table2[[#This Row],[Defuses]] = MAX(J$72:J$81), 10, 0)</f>
        <v>10</v>
      </c>
    </row>
    <row r="82" spans="1:16" x14ac:dyDescent="0.2">
      <c r="A82" s="4" t="s">
        <v>31</v>
      </c>
      <c r="B82" t="s">
        <v>21</v>
      </c>
      <c r="C82">
        <v>425</v>
      </c>
      <c r="D82">
        <v>28</v>
      </c>
      <c r="E82">
        <v>9</v>
      </c>
      <c r="F82">
        <v>1</v>
      </c>
      <c r="G82">
        <v>134</v>
      </c>
      <c r="H82">
        <v>3</v>
      </c>
      <c r="I82">
        <v>0</v>
      </c>
      <c r="J82">
        <v>0</v>
      </c>
      <c r="K82">
        <v>50</v>
      </c>
      <c r="L82">
        <f>IF(Table2[[#This Row],[Death]] = MIN(E$82:E$91), 10, 0)</f>
        <v>10</v>
      </c>
      <c r="M82">
        <f>IF(Table2[[#This Row],[Assist]] = MAX(F$82:F$91), 10, 0)</f>
        <v>0</v>
      </c>
      <c r="N82">
        <f>IF(Table2[[#This Row],[First Bloods]] = MAX(H$82:H$91), 10, 0)</f>
        <v>0</v>
      </c>
      <c r="O82">
        <f>IF(Table2[[#This Row],[Plants]] = MAX(I$82:I$91), 10, 0)</f>
        <v>0</v>
      </c>
      <c r="P82">
        <f>IF(Table2[[#This Row],[Defuses]] = MAX(J$82:J$91), 10, 0)</f>
        <v>0</v>
      </c>
    </row>
    <row r="83" spans="1:16" x14ac:dyDescent="0.2">
      <c r="A83" s="4" t="s">
        <v>31</v>
      </c>
      <c r="B83" t="s">
        <v>23</v>
      </c>
      <c r="C83">
        <v>232</v>
      </c>
      <c r="D83">
        <v>14</v>
      </c>
      <c r="E83">
        <v>13</v>
      </c>
      <c r="F83">
        <v>2</v>
      </c>
      <c r="G83">
        <v>64</v>
      </c>
      <c r="H83">
        <v>3</v>
      </c>
      <c r="I83">
        <v>0</v>
      </c>
      <c r="J83">
        <v>0</v>
      </c>
      <c r="K83">
        <v>0</v>
      </c>
      <c r="L83">
        <f>IF(Table2[[#This Row],[Death]] = MIN(E$82:E$91), 10, 0)</f>
        <v>0</v>
      </c>
      <c r="M83">
        <f>IF(Table2[[#This Row],[Assist]] = MAX(F$82:F$91), 10, 0)</f>
        <v>0</v>
      </c>
      <c r="N83">
        <f>IF(Table2[[#This Row],[First Bloods]] = MAX(H$82:H$91), 10, 0)</f>
        <v>0</v>
      </c>
      <c r="O83">
        <f>IF(Table2[[#This Row],[Plants]] = MAX(I$82:I$91), 10, 0)</f>
        <v>0</v>
      </c>
      <c r="P83">
        <f>IF(Table2[[#This Row],[Defuses]] = MAX(J$82:J$91), 10, 0)</f>
        <v>0</v>
      </c>
    </row>
    <row r="84" spans="1:16" x14ac:dyDescent="0.2">
      <c r="A84" s="4" t="s">
        <v>31</v>
      </c>
      <c r="B84" t="s">
        <v>32</v>
      </c>
      <c r="C84">
        <v>229</v>
      </c>
      <c r="D84">
        <v>13</v>
      </c>
      <c r="E84">
        <v>9</v>
      </c>
      <c r="F84">
        <v>7</v>
      </c>
      <c r="G84">
        <v>54</v>
      </c>
      <c r="H84">
        <v>1</v>
      </c>
      <c r="I84">
        <v>2</v>
      </c>
      <c r="J84">
        <v>1</v>
      </c>
      <c r="K84">
        <v>50</v>
      </c>
      <c r="L84">
        <f>IF(Table2[[#This Row],[Death]] = MIN(E$82:E$91), 10, 0)</f>
        <v>10</v>
      </c>
      <c r="M84">
        <f>IF(Table2[[#This Row],[Assist]] = MAX(F$82:F$91), 10, 0)</f>
        <v>10</v>
      </c>
      <c r="N84">
        <f>IF(Table2[[#This Row],[First Bloods]] = MAX(H$82:H$91), 10, 0)</f>
        <v>0</v>
      </c>
      <c r="O84">
        <f>IF(Table2[[#This Row],[Plants]] = MAX(I$82:I$91), 10, 0)</f>
        <v>0</v>
      </c>
      <c r="P84">
        <f>IF(Table2[[#This Row],[Defuses]] = MAX(J$82:J$91), 10, 0)</f>
        <v>10</v>
      </c>
    </row>
    <row r="85" spans="1:16" x14ac:dyDescent="0.2">
      <c r="A85" s="4" t="s">
        <v>31</v>
      </c>
      <c r="B85" t="s">
        <v>60</v>
      </c>
      <c r="C85">
        <v>221</v>
      </c>
      <c r="D85">
        <v>14</v>
      </c>
      <c r="E85">
        <v>14</v>
      </c>
      <c r="F85">
        <v>3</v>
      </c>
      <c r="G85">
        <v>64</v>
      </c>
      <c r="H85">
        <v>4</v>
      </c>
      <c r="I85">
        <v>0</v>
      </c>
      <c r="J85">
        <v>0</v>
      </c>
      <c r="K85">
        <v>0</v>
      </c>
      <c r="L85">
        <f>IF(Table2[[#This Row],[Death]] = MIN(E$82:E$91), 10, 0)</f>
        <v>0</v>
      </c>
      <c r="M85">
        <f>IF(Table2[[#This Row],[Assist]] = MAX(F$82:F$91), 10, 0)</f>
        <v>0</v>
      </c>
      <c r="N85">
        <f>IF(Table2[[#This Row],[First Bloods]] = MAX(H$82:H$91), 10, 0)</f>
        <v>10</v>
      </c>
      <c r="O85">
        <f>IF(Table2[[#This Row],[Plants]] = MAX(I$82:I$91), 10, 0)</f>
        <v>0</v>
      </c>
      <c r="P85">
        <f>IF(Table2[[#This Row],[Defuses]] = MAX(J$82:J$91), 10, 0)</f>
        <v>0</v>
      </c>
    </row>
    <row r="86" spans="1:16" x14ac:dyDescent="0.2">
      <c r="A86" s="4" t="s">
        <v>31</v>
      </c>
      <c r="B86" t="s">
        <v>22</v>
      </c>
      <c r="C86">
        <v>176</v>
      </c>
      <c r="D86">
        <v>11</v>
      </c>
      <c r="E86">
        <v>10</v>
      </c>
      <c r="F86">
        <v>1</v>
      </c>
      <c r="G86">
        <v>52</v>
      </c>
      <c r="H86">
        <v>1</v>
      </c>
      <c r="I86">
        <v>1</v>
      </c>
      <c r="J86">
        <v>0</v>
      </c>
      <c r="K86">
        <v>50</v>
      </c>
      <c r="L86">
        <f>IF(Table2[[#This Row],[Death]] = MIN(E$82:E$91), 10, 0)</f>
        <v>0</v>
      </c>
      <c r="M86">
        <f>IF(Table2[[#This Row],[Assist]] = MAX(F$82:F$91), 10, 0)</f>
        <v>0</v>
      </c>
      <c r="N86">
        <f>IF(Table2[[#This Row],[First Bloods]] = MAX(H$82:H$91), 10, 0)</f>
        <v>0</v>
      </c>
      <c r="O86">
        <f>IF(Table2[[#This Row],[Plants]] = MAX(I$82:I$91), 10, 0)</f>
        <v>0</v>
      </c>
      <c r="P86">
        <f>IF(Table2[[#This Row],[Defuses]] = MAX(J$82:J$91), 10, 0)</f>
        <v>0</v>
      </c>
    </row>
    <row r="87" spans="1:16" x14ac:dyDescent="0.2">
      <c r="A87" s="4" t="s">
        <v>31</v>
      </c>
      <c r="B87" t="s">
        <v>16</v>
      </c>
      <c r="C87">
        <v>164</v>
      </c>
      <c r="D87">
        <v>11</v>
      </c>
      <c r="E87">
        <v>15</v>
      </c>
      <c r="F87">
        <v>1</v>
      </c>
      <c r="G87">
        <v>44</v>
      </c>
      <c r="H87">
        <v>2</v>
      </c>
      <c r="I87">
        <v>0</v>
      </c>
      <c r="J87">
        <v>0</v>
      </c>
      <c r="K87">
        <v>0</v>
      </c>
      <c r="L87">
        <f>IF(Table2[[#This Row],[Death]] = MIN(E$82:E$91), 10, 0)</f>
        <v>0</v>
      </c>
      <c r="M87">
        <f>IF(Table2[[#This Row],[Assist]] = MAX(F$82:F$91), 10, 0)</f>
        <v>0</v>
      </c>
      <c r="N87">
        <f>IF(Table2[[#This Row],[First Bloods]] = MAX(H$82:H$91), 10, 0)</f>
        <v>0</v>
      </c>
      <c r="O87">
        <f>IF(Table2[[#This Row],[Plants]] = MAX(I$82:I$91), 10, 0)</f>
        <v>0</v>
      </c>
      <c r="P87">
        <f>IF(Table2[[#This Row],[Defuses]] = MAX(J$82:J$91), 10, 0)</f>
        <v>0</v>
      </c>
    </row>
    <row r="88" spans="1:16" x14ac:dyDescent="0.2">
      <c r="A88" s="4" t="s">
        <v>31</v>
      </c>
      <c r="B88" t="s">
        <v>13</v>
      </c>
      <c r="C88">
        <v>132</v>
      </c>
      <c r="D88">
        <v>11</v>
      </c>
      <c r="E88">
        <v>13</v>
      </c>
      <c r="F88">
        <v>4</v>
      </c>
      <c r="G88">
        <v>48</v>
      </c>
      <c r="H88">
        <v>2</v>
      </c>
      <c r="I88">
        <v>1</v>
      </c>
      <c r="J88">
        <v>0</v>
      </c>
      <c r="K88">
        <v>50</v>
      </c>
      <c r="L88">
        <f>IF(Table2[[#This Row],[Death]] = MIN(E$82:E$91), 10, 0)</f>
        <v>0</v>
      </c>
      <c r="M88">
        <f>IF(Table2[[#This Row],[Assist]] = MAX(F$82:F$91), 10, 0)</f>
        <v>0</v>
      </c>
      <c r="N88">
        <f>IF(Table2[[#This Row],[First Bloods]] = MAX(H$82:H$91), 10, 0)</f>
        <v>0</v>
      </c>
      <c r="O88">
        <f>IF(Table2[[#This Row],[Plants]] = MAX(I$82:I$91), 10, 0)</f>
        <v>0</v>
      </c>
      <c r="P88">
        <f>IF(Table2[[#This Row],[Defuses]] = MAX(J$82:J$91), 10, 0)</f>
        <v>0</v>
      </c>
    </row>
    <row r="89" spans="1:16" x14ac:dyDescent="0.2">
      <c r="A89" s="4" t="s">
        <v>31</v>
      </c>
      <c r="B89" t="s">
        <v>55</v>
      </c>
      <c r="C89">
        <v>149</v>
      </c>
      <c r="D89">
        <v>10</v>
      </c>
      <c r="E89">
        <v>9</v>
      </c>
      <c r="F89">
        <v>2</v>
      </c>
      <c r="G89">
        <v>50</v>
      </c>
      <c r="H89">
        <v>0</v>
      </c>
      <c r="I89">
        <v>1</v>
      </c>
      <c r="J89">
        <v>0</v>
      </c>
      <c r="K89">
        <v>50</v>
      </c>
      <c r="L89">
        <f>IF(Table2[[#This Row],[Death]] = MIN(E$82:E$91), 10, 0)</f>
        <v>10</v>
      </c>
      <c r="M89">
        <f>IF(Table2[[#This Row],[Assist]] = MAX(F$82:F$91), 10, 0)</f>
        <v>0</v>
      </c>
      <c r="N89">
        <f>IF(Table2[[#This Row],[First Bloods]] = MAX(H$82:H$91), 10, 0)</f>
        <v>0</v>
      </c>
      <c r="O89">
        <f>IF(Table2[[#This Row],[Plants]] = MAX(I$82:I$91), 10, 0)</f>
        <v>0</v>
      </c>
      <c r="P89">
        <f>IF(Table2[[#This Row],[Defuses]] = MAX(J$82:J$91), 10, 0)</f>
        <v>0</v>
      </c>
    </row>
    <row r="90" spans="1:16" x14ac:dyDescent="0.2">
      <c r="A90" s="4" t="s">
        <v>31</v>
      </c>
      <c r="B90" t="s">
        <v>1</v>
      </c>
      <c r="C90">
        <v>127</v>
      </c>
      <c r="D90">
        <v>7</v>
      </c>
      <c r="E90">
        <v>16</v>
      </c>
      <c r="F90">
        <v>2</v>
      </c>
      <c r="G90">
        <v>34</v>
      </c>
      <c r="H90">
        <v>2</v>
      </c>
      <c r="I90">
        <v>0</v>
      </c>
      <c r="J90">
        <v>0</v>
      </c>
      <c r="K90">
        <v>0</v>
      </c>
      <c r="L90">
        <f>IF(Table2[[#This Row],[Death]] = MIN(E$82:E$91), 10, 0)</f>
        <v>0</v>
      </c>
      <c r="M90">
        <f>IF(Table2[[#This Row],[Assist]] = MAX(F$82:F$91), 10, 0)</f>
        <v>0</v>
      </c>
      <c r="N90">
        <f>IF(Table2[[#This Row],[First Bloods]] = MAX(H$82:H$91), 10, 0)</f>
        <v>0</v>
      </c>
      <c r="O90">
        <f>IF(Table2[[#This Row],[Plants]] = MAX(I$82:I$91), 10, 0)</f>
        <v>0</v>
      </c>
      <c r="P90">
        <f>IF(Table2[[#This Row],[Defuses]] = MAX(J$82:J$91), 10, 0)</f>
        <v>0</v>
      </c>
    </row>
    <row r="91" spans="1:16" x14ac:dyDescent="0.2">
      <c r="A91" s="7" t="s">
        <v>31</v>
      </c>
      <c r="B91" s="2" t="s">
        <v>33</v>
      </c>
      <c r="C91" s="2">
        <v>87</v>
      </c>
      <c r="D91" s="2">
        <v>4</v>
      </c>
      <c r="E91" s="2">
        <v>15</v>
      </c>
      <c r="F91" s="2">
        <v>1</v>
      </c>
      <c r="G91" s="2">
        <v>29</v>
      </c>
      <c r="H91" s="2">
        <v>0</v>
      </c>
      <c r="I91" s="2">
        <v>5</v>
      </c>
      <c r="J91" s="2">
        <v>0</v>
      </c>
      <c r="K91" s="2">
        <v>0</v>
      </c>
      <c r="L91" s="2">
        <f>IF(Table2[[#This Row],[Death]] = MIN(E$82:E$91), 10, 0)</f>
        <v>0</v>
      </c>
      <c r="M91" s="2">
        <f>IF(Table2[[#This Row],[Assist]] = MAX(F$82:F$91), 10, 0)</f>
        <v>0</v>
      </c>
      <c r="N91" s="2">
        <f>IF(Table2[[#This Row],[First Bloods]] = MAX(H$82:H$91), 10, 0)</f>
        <v>0</v>
      </c>
      <c r="O91" s="2">
        <f>IF(Table2[[#This Row],[Plants]] = MAX(I$82:I$91), 10, 0)</f>
        <v>10</v>
      </c>
      <c r="P91" s="2">
        <f>IF(Table2[[#This Row],[Defuses]] = MAX(J$82:J$91), 10, 0)</f>
        <v>0</v>
      </c>
    </row>
    <row r="92" spans="1:16" x14ac:dyDescent="0.2">
      <c r="A92" s="4" t="s">
        <v>89</v>
      </c>
      <c r="B92" t="s">
        <v>37</v>
      </c>
      <c r="C92">
        <v>294</v>
      </c>
      <c r="D92">
        <v>24</v>
      </c>
      <c r="E92">
        <v>18</v>
      </c>
      <c r="F92">
        <v>8</v>
      </c>
      <c r="G92">
        <v>72</v>
      </c>
      <c r="H92">
        <v>3</v>
      </c>
      <c r="I92">
        <v>1</v>
      </c>
      <c r="J92">
        <v>1</v>
      </c>
      <c r="K92">
        <v>50</v>
      </c>
      <c r="L92">
        <f>IF(Table2[[#This Row],[Death]] = MIN(E$92:E$101), 10, 0)</f>
        <v>0</v>
      </c>
      <c r="M92">
        <f>IF(Table2[[#This Row],[Assist]] = MAX(F$92:F$101), 10, 0)</f>
        <v>0</v>
      </c>
      <c r="N92">
        <f>IF(Table2[[#This Row],[First Bloods]] = MAX(H$92:H$101), 10, 0)</f>
        <v>0</v>
      </c>
      <c r="O92">
        <f>IF(Table2[[#This Row],[Plants]] = MAX(I$92:I$101), 10, 0)</f>
        <v>0</v>
      </c>
      <c r="P92">
        <f>IF(Table2[[#This Row],[Defuses]] = MAX(J$92:J$101), 10, 0)</f>
        <v>0</v>
      </c>
    </row>
    <row r="93" spans="1:16" x14ac:dyDescent="0.2">
      <c r="A93" s="4" t="s">
        <v>89</v>
      </c>
      <c r="B93" t="s">
        <v>16</v>
      </c>
      <c r="C93">
        <v>253</v>
      </c>
      <c r="D93">
        <v>22</v>
      </c>
      <c r="E93">
        <v>16</v>
      </c>
      <c r="F93">
        <v>6</v>
      </c>
      <c r="G93">
        <v>60</v>
      </c>
      <c r="H93">
        <v>3</v>
      </c>
      <c r="I93">
        <v>2</v>
      </c>
      <c r="J93">
        <v>1</v>
      </c>
      <c r="K93">
        <v>0</v>
      </c>
      <c r="L93">
        <f>IF(Table2[[#This Row],[Death]] = MIN(E$92:E$101), 10, 0)</f>
        <v>0</v>
      </c>
      <c r="M93">
        <f>IF(Table2[[#This Row],[Assist]] = MAX(F$92:F$101), 10, 0)</f>
        <v>0</v>
      </c>
      <c r="N93">
        <f>IF(Table2[[#This Row],[First Bloods]] = MAX(H$92:H$101), 10, 0)</f>
        <v>0</v>
      </c>
      <c r="O93">
        <f>IF(Table2[[#This Row],[Plants]] = MAX(I$92:I$101), 10, 0)</f>
        <v>0</v>
      </c>
      <c r="P93">
        <f>IF(Table2[[#This Row],[Defuses]] = MAX(J$92:J$101), 10, 0)</f>
        <v>0</v>
      </c>
    </row>
    <row r="94" spans="1:16" x14ac:dyDescent="0.2">
      <c r="A94" s="4" t="s">
        <v>89</v>
      </c>
      <c r="B94" t="s">
        <v>55</v>
      </c>
      <c r="C94">
        <v>231</v>
      </c>
      <c r="D94">
        <v>17</v>
      </c>
      <c r="E94">
        <v>14</v>
      </c>
      <c r="F94">
        <v>8</v>
      </c>
      <c r="G94">
        <v>73</v>
      </c>
      <c r="H94">
        <v>4</v>
      </c>
      <c r="I94">
        <v>1</v>
      </c>
      <c r="J94">
        <v>2</v>
      </c>
      <c r="K94">
        <v>50</v>
      </c>
      <c r="L94">
        <f>IF(Table2[[#This Row],[Death]] = MIN(E$92:E$101), 10, 0)</f>
        <v>10</v>
      </c>
      <c r="M94">
        <f>IF(Table2[[#This Row],[Assist]] = MAX(F$92:F$101), 10, 0)</f>
        <v>0</v>
      </c>
      <c r="N94">
        <f>IF(Table2[[#This Row],[First Bloods]] = MAX(H$92:H$101), 10, 0)</f>
        <v>10</v>
      </c>
      <c r="O94">
        <f>IF(Table2[[#This Row],[Plants]] = MAX(I$92:I$101), 10, 0)</f>
        <v>0</v>
      </c>
      <c r="P94">
        <f>IF(Table2[[#This Row],[Defuses]] = MAX(J$92:J$101), 10, 0)</f>
        <v>10</v>
      </c>
    </row>
    <row r="95" spans="1:16" x14ac:dyDescent="0.2">
      <c r="A95" s="4" t="s">
        <v>89</v>
      </c>
      <c r="B95" t="s">
        <v>21</v>
      </c>
      <c r="C95">
        <v>211</v>
      </c>
      <c r="D95">
        <v>18</v>
      </c>
      <c r="E95">
        <v>18</v>
      </c>
      <c r="F95">
        <v>1</v>
      </c>
      <c r="G95">
        <v>72</v>
      </c>
      <c r="H95">
        <v>3</v>
      </c>
      <c r="I95">
        <v>0</v>
      </c>
      <c r="J95">
        <v>0</v>
      </c>
      <c r="K95">
        <v>0</v>
      </c>
      <c r="L95">
        <f>IF(Table2[[#This Row],[Death]] = MIN(E$92:E$101), 10, 0)</f>
        <v>0</v>
      </c>
      <c r="M95">
        <f>IF(Table2[[#This Row],[Assist]] = MAX(F$92:F$101), 10, 0)</f>
        <v>0</v>
      </c>
      <c r="N95">
        <f>IF(Table2[[#This Row],[First Bloods]] = MAX(H$92:H$101), 10, 0)</f>
        <v>0</v>
      </c>
      <c r="O95">
        <f>IF(Table2[[#This Row],[Plants]] = MAX(I$92:I$101), 10, 0)</f>
        <v>0</v>
      </c>
      <c r="P95">
        <f>IF(Table2[[#This Row],[Defuses]] = MAX(J$92:J$101), 10, 0)</f>
        <v>0</v>
      </c>
    </row>
    <row r="96" spans="1:16" x14ac:dyDescent="0.2">
      <c r="A96" s="4" t="s">
        <v>89</v>
      </c>
      <c r="B96" t="s">
        <v>60</v>
      </c>
      <c r="C96">
        <v>205</v>
      </c>
      <c r="D96">
        <v>15</v>
      </c>
      <c r="E96">
        <v>19</v>
      </c>
      <c r="F96">
        <v>4</v>
      </c>
      <c r="G96">
        <v>48</v>
      </c>
      <c r="H96">
        <v>2</v>
      </c>
      <c r="I96">
        <v>0</v>
      </c>
      <c r="J96">
        <v>0</v>
      </c>
      <c r="K96">
        <v>0</v>
      </c>
      <c r="L96">
        <f>IF(Table2[[#This Row],[Death]] = MIN(E$92:E$101), 10, 0)</f>
        <v>0</v>
      </c>
      <c r="M96">
        <f>IF(Table2[[#This Row],[Assist]] = MAX(F$92:F$101), 10, 0)</f>
        <v>0</v>
      </c>
      <c r="N96">
        <f>IF(Table2[[#This Row],[First Bloods]] = MAX(H$92:H$101), 10, 0)</f>
        <v>0</v>
      </c>
      <c r="O96">
        <f>IF(Table2[[#This Row],[Plants]] = MAX(I$92:I$101), 10, 0)</f>
        <v>0</v>
      </c>
      <c r="P96">
        <f>IF(Table2[[#This Row],[Defuses]] = MAX(J$92:J$101), 10, 0)</f>
        <v>0</v>
      </c>
    </row>
    <row r="97" spans="1:16" x14ac:dyDescent="0.2">
      <c r="A97" s="4" t="s">
        <v>89</v>
      </c>
      <c r="B97" t="s">
        <v>18</v>
      </c>
      <c r="C97">
        <v>191</v>
      </c>
      <c r="D97">
        <v>19</v>
      </c>
      <c r="E97">
        <v>14</v>
      </c>
      <c r="F97">
        <v>2</v>
      </c>
      <c r="G97">
        <v>51</v>
      </c>
      <c r="H97">
        <v>3</v>
      </c>
      <c r="I97">
        <v>0</v>
      </c>
      <c r="J97">
        <v>0</v>
      </c>
      <c r="K97">
        <v>50</v>
      </c>
      <c r="L97">
        <f>IF(Table2[[#This Row],[Death]] = MIN(E$92:E$101), 10, 0)</f>
        <v>10</v>
      </c>
      <c r="M97">
        <f>IF(Table2[[#This Row],[Assist]] = MAX(F$92:F$101), 10, 0)</f>
        <v>0</v>
      </c>
      <c r="N97">
        <f>IF(Table2[[#This Row],[First Bloods]] = MAX(H$92:H$101), 10, 0)</f>
        <v>0</v>
      </c>
      <c r="O97">
        <f>IF(Table2[[#This Row],[Plants]] = MAX(I$92:I$101), 10, 0)</f>
        <v>0</v>
      </c>
      <c r="P97">
        <f>IF(Table2[[#This Row],[Defuses]] = MAX(J$92:J$101), 10, 0)</f>
        <v>0</v>
      </c>
    </row>
    <row r="98" spans="1:16" x14ac:dyDescent="0.2">
      <c r="A98" s="4" t="s">
        <v>89</v>
      </c>
      <c r="B98" t="s">
        <v>17</v>
      </c>
      <c r="C98">
        <v>189</v>
      </c>
      <c r="D98">
        <v>17</v>
      </c>
      <c r="E98">
        <v>16</v>
      </c>
      <c r="F98">
        <v>4</v>
      </c>
      <c r="G98">
        <v>49</v>
      </c>
      <c r="H98">
        <v>2</v>
      </c>
      <c r="I98">
        <v>6</v>
      </c>
      <c r="J98">
        <v>2</v>
      </c>
      <c r="K98">
        <v>50</v>
      </c>
      <c r="L98">
        <f>IF(Table2[[#This Row],[Death]] = MIN(E$92:E$101), 10, 0)</f>
        <v>0</v>
      </c>
      <c r="M98">
        <f>IF(Table2[[#This Row],[Assist]] = MAX(F$92:F$101), 10, 0)</f>
        <v>0</v>
      </c>
      <c r="N98">
        <f>IF(Table2[[#This Row],[First Bloods]] = MAX(H$92:H$101), 10, 0)</f>
        <v>0</v>
      </c>
      <c r="O98">
        <f>IF(Table2[[#This Row],[Plants]] = MAX(I$92:I$101), 10, 0)</f>
        <v>0</v>
      </c>
      <c r="P98">
        <f>IF(Table2[[#This Row],[Defuses]] = MAX(J$92:J$101), 10, 0)</f>
        <v>10</v>
      </c>
    </row>
    <row r="99" spans="1:16" x14ac:dyDescent="0.2">
      <c r="A99" s="4" t="s">
        <v>89</v>
      </c>
      <c r="B99" t="s">
        <v>13</v>
      </c>
      <c r="C99">
        <v>154</v>
      </c>
      <c r="D99">
        <v>12</v>
      </c>
      <c r="E99">
        <v>17</v>
      </c>
      <c r="F99">
        <v>6</v>
      </c>
      <c r="G99">
        <v>49</v>
      </c>
      <c r="H99">
        <v>2</v>
      </c>
      <c r="I99">
        <v>0</v>
      </c>
      <c r="J99">
        <v>2</v>
      </c>
      <c r="K99">
        <v>0</v>
      </c>
      <c r="L99">
        <f>IF(Table2[[#This Row],[Death]] = MIN(E$92:E$101), 10, 0)</f>
        <v>0</v>
      </c>
      <c r="M99">
        <f>IF(Table2[[#This Row],[Assist]] = MAX(F$92:F$101), 10, 0)</f>
        <v>0</v>
      </c>
      <c r="N99">
        <f>IF(Table2[[#This Row],[First Bloods]] = MAX(H$92:H$101), 10, 0)</f>
        <v>0</v>
      </c>
      <c r="O99">
        <f>IF(Table2[[#This Row],[Plants]] = MAX(I$92:I$101), 10, 0)</f>
        <v>0</v>
      </c>
      <c r="P99">
        <f>IF(Table2[[#This Row],[Defuses]] = MAX(J$92:J$101), 10, 0)</f>
        <v>10</v>
      </c>
    </row>
    <row r="100" spans="1:16" x14ac:dyDescent="0.2">
      <c r="A100" s="4" t="s">
        <v>89</v>
      </c>
      <c r="B100" t="s">
        <v>54</v>
      </c>
      <c r="C100">
        <v>150</v>
      </c>
      <c r="D100">
        <v>10</v>
      </c>
      <c r="E100">
        <v>16</v>
      </c>
      <c r="F100">
        <v>11</v>
      </c>
      <c r="G100">
        <v>37</v>
      </c>
      <c r="H100">
        <v>1</v>
      </c>
      <c r="I100">
        <v>0</v>
      </c>
      <c r="J100">
        <v>0</v>
      </c>
      <c r="K100">
        <v>50</v>
      </c>
      <c r="L100">
        <f>IF(Table2[[#This Row],[Death]] = MIN(E$92:E$101), 10, 0)</f>
        <v>0</v>
      </c>
      <c r="M100">
        <f>IF(Table2[[#This Row],[Assist]] = MAX(F$92:F$101), 10, 0)</f>
        <v>10</v>
      </c>
      <c r="N100">
        <f>IF(Table2[[#This Row],[First Bloods]] = MAX(H$92:H$101), 10, 0)</f>
        <v>0</v>
      </c>
      <c r="O100">
        <f>IF(Table2[[#This Row],[Plants]] = MAX(I$92:I$101), 10, 0)</f>
        <v>0</v>
      </c>
      <c r="P100">
        <f>IF(Table2[[#This Row],[Defuses]] = MAX(J$92:J$101), 10, 0)</f>
        <v>0</v>
      </c>
    </row>
    <row r="101" spans="1:16" x14ac:dyDescent="0.2">
      <c r="A101" s="7" t="s">
        <v>89</v>
      </c>
      <c r="B101" s="2" t="s">
        <v>56</v>
      </c>
      <c r="C101" s="2">
        <v>143</v>
      </c>
      <c r="D101" s="2">
        <v>11</v>
      </c>
      <c r="E101" s="2">
        <v>17</v>
      </c>
      <c r="F101" s="2">
        <v>5</v>
      </c>
      <c r="G101" s="2">
        <v>39</v>
      </c>
      <c r="H101" s="2">
        <v>0</v>
      </c>
      <c r="I101" s="2">
        <v>7</v>
      </c>
      <c r="J101" s="2">
        <v>0</v>
      </c>
      <c r="K101" s="2">
        <v>0</v>
      </c>
      <c r="L101" s="2">
        <f>IF(Table2[[#This Row],[Death]] = MIN(E$92:E$101), 10, 0)</f>
        <v>0</v>
      </c>
      <c r="M101" s="2">
        <f>IF(Table2[[#This Row],[Assist]] = MAX(F$92:F$101), 10, 0)</f>
        <v>0</v>
      </c>
      <c r="N101" s="2">
        <f>IF(Table2[[#This Row],[First Bloods]] = MAX(H$92:H$101), 10, 0)</f>
        <v>0</v>
      </c>
      <c r="O101" s="2">
        <f>IF(Table2[[#This Row],[Plants]] = MAX(I$92:I$101), 10, 0)</f>
        <v>10</v>
      </c>
      <c r="P101" s="2">
        <f>IF(Table2[[#This Row],[Defuses]] = MAX(J$92:J$101), 10, 0)</f>
        <v>0</v>
      </c>
    </row>
    <row r="102" spans="1:16" x14ac:dyDescent="0.2">
      <c r="A102" s="4" t="s">
        <v>90</v>
      </c>
      <c r="B102" t="s">
        <v>21</v>
      </c>
      <c r="C102">
        <v>343</v>
      </c>
      <c r="D102">
        <v>30</v>
      </c>
      <c r="E102">
        <v>19</v>
      </c>
      <c r="F102">
        <v>3</v>
      </c>
      <c r="G102">
        <v>91</v>
      </c>
      <c r="H102">
        <v>7</v>
      </c>
      <c r="I102">
        <v>1</v>
      </c>
      <c r="J102">
        <v>0</v>
      </c>
      <c r="K102">
        <v>50</v>
      </c>
      <c r="L102">
        <f>IF(Table2[[#This Row],[Death]] = MIN(E$102:E$111), 10, 0)</f>
        <v>0</v>
      </c>
      <c r="M102">
        <f>IF(Table2[[#This Row],[Assist]] = MAX(F$102:F$111), 10, 0)</f>
        <v>0</v>
      </c>
      <c r="N102">
        <f>IF(Table2[[#This Row],[First Bloods]] = MAX(H$102:H$111), 10, 0)</f>
        <v>10</v>
      </c>
      <c r="O102">
        <f>IF(Table2[[#This Row],[Plants]] = MAX(I$102:I$111), 10, 0)</f>
        <v>0</v>
      </c>
      <c r="P102">
        <f>IF(Table2[[#This Row],[Defuses]] = MAX(J$102:J$111), 10, 0)</f>
        <v>0</v>
      </c>
    </row>
    <row r="103" spans="1:16" x14ac:dyDescent="0.2">
      <c r="A103" s="4" t="s">
        <v>90</v>
      </c>
      <c r="B103" t="s">
        <v>60</v>
      </c>
      <c r="C103">
        <v>324</v>
      </c>
      <c r="D103">
        <v>28</v>
      </c>
      <c r="E103">
        <v>18</v>
      </c>
      <c r="F103">
        <v>4</v>
      </c>
      <c r="G103">
        <v>73</v>
      </c>
      <c r="H103">
        <v>5</v>
      </c>
      <c r="I103">
        <v>0</v>
      </c>
      <c r="J103">
        <v>2</v>
      </c>
      <c r="K103">
        <v>50</v>
      </c>
      <c r="L103">
        <f>IF(Table2[[#This Row],[Death]] = MIN(E$102:E$111), 10, 0)</f>
        <v>0</v>
      </c>
      <c r="M103">
        <f>IF(Table2[[#This Row],[Assist]] = MAX(F$102:F$111), 10, 0)</f>
        <v>0</v>
      </c>
      <c r="N103">
        <f>IF(Table2[[#This Row],[First Bloods]] = MAX(H$102:H$111), 10, 0)</f>
        <v>0</v>
      </c>
      <c r="O103">
        <f>IF(Table2[[#This Row],[Plants]] = MAX(I$102:I$111), 10, 0)</f>
        <v>0</v>
      </c>
      <c r="P103">
        <f>IF(Table2[[#This Row],[Defuses]] = MAX(J$102:J$111), 10, 0)</f>
        <v>10</v>
      </c>
    </row>
    <row r="104" spans="1:16" x14ac:dyDescent="0.2">
      <c r="A104" s="4" t="s">
        <v>90</v>
      </c>
      <c r="B104" t="s">
        <v>17</v>
      </c>
      <c r="C104">
        <v>285</v>
      </c>
      <c r="D104">
        <v>26</v>
      </c>
      <c r="E104">
        <v>24</v>
      </c>
      <c r="F104">
        <v>14</v>
      </c>
      <c r="G104">
        <v>66</v>
      </c>
      <c r="H104">
        <v>1</v>
      </c>
      <c r="I104">
        <v>0</v>
      </c>
      <c r="J104">
        <v>0</v>
      </c>
      <c r="K104">
        <v>0</v>
      </c>
      <c r="L104">
        <f>IF(Table2[[#This Row],[Death]] = MIN(E$102:E$111), 10, 0)</f>
        <v>0</v>
      </c>
      <c r="M104">
        <f>IF(Table2[[#This Row],[Assist]] = MAX(F$102:F$111), 10, 0)</f>
        <v>10</v>
      </c>
      <c r="N104">
        <f>IF(Table2[[#This Row],[First Bloods]] = MAX(H$102:H$111), 10, 0)</f>
        <v>0</v>
      </c>
      <c r="O104">
        <f>IF(Table2[[#This Row],[Plants]] = MAX(I$102:I$111), 10, 0)</f>
        <v>0</v>
      </c>
      <c r="P104">
        <f>IF(Table2[[#This Row],[Defuses]] = MAX(J$102:J$111), 10, 0)</f>
        <v>0</v>
      </c>
    </row>
    <row r="105" spans="1:16" x14ac:dyDescent="0.2">
      <c r="A105" s="4" t="s">
        <v>90</v>
      </c>
      <c r="B105" t="s">
        <v>37</v>
      </c>
      <c r="C105">
        <v>278</v>
      </c>
      <c r="D105">
        <v>26</v>
      </c>
      <c r="E105">
        <v>21</v>
      </c>
      <c r="F105">
        <v>5</v>
      </c>
      <c r="G105">
        <v>66</v>
      </c>
      <c r="H105">
        <v>4</v>
      </c>
      <c r="I105">
        <v>1</v>
      </c>
      <c r="J105">
        <v>1</v>
      </c>
      <c r="K105">
        <v>0</v>
      </c>
      <c r="L105">
        <f>IF(Table2[[#This Row],[Death]] = MIN(E$102:E$111), 10, 0)</f>
        <v>0</v>
      </c>
      <c r="M105">
        <f>IF(Table2[[#This Row],[Assist]] = MAX(F$102:F$111), 10, 0)</f>
        <v>0</v>
      </c>
      <c r="N105">
        <f>IF(Table2[[#This Row],[First Bloods]] = MAX(H$102:H$111), 10, 0)</f>
        <v>0</v>
      </c>
      <c r="O105">
        <f>IF(Table2[[#This Row],[Plants]] = MAX(I$102:I$111), 10, 0)</f>
        <v>0</v>
      </c>
      <c r="P105">
        <f>IF(Table2[[#This Row],[Defuses]] = MAX(J$102:J$111), 10, 0)</f>
        <v>0</v>
      </c>
    </row>
    <row r="106" spans="1:16" x14ac:dyDescent="0.2">
      <c r="A106" s="4" t="s">
        <v>90</v>
      </c>
      <c r="B106" t="s">
        <v>13</v>
      </c>
      <c r="C106">
        <v>246</v>
      </c>
      <c r="D106">
        <v>22</v>
      </c>
      <c r="E106">
        <v>17</v>
      </c>
      <c r="F106">
        <v>11</v>
      </c>
      <c r="G106">
        <v>58</v>
      </c>
      <c r="H106">
        <v>2</v>
      </c>
      <c r="I106">
        <v>2</v>
      </c>
      <c r="J106">
        <v>0</v>
      </c>
      <c r="K106">
        <v>50</v>
      </c>
      <c r="L106">
        <f>IF(Table2[[#This Row],[Death]] = MIN(E$102:E$111), 10, 0)</f>
        <v>10</v>
      </c>
      <c r="M106">
        <f>IF(Table2[[#This Row],[Assist]] = MAX(F$102:F$111), 10, 0)</f>
        <v>0</v>
      </c>
      <c r="N106">
        <f>IF(Table2[[#This Row],[First Bloods]] = MAX(H$102:H$111), 10, 0)</f>
        <v>0</v>
      </c>
      <c r="O106">
        <f>IF(Table2[[#This Row],[Plants]] = MAX(I$102:I$111), 10, 0)</f>
        <v>0</v>
      </c>
      <c r="P106">
        <f>IF(Table2[[#This Row],[Defuses]] = MAX(J$102:J$111), 10, 0)</f>
        <v>0</v>
      </c>
    </row>
    <row r="107" spans="1:16" x14ac:dyDescent="0.2">
      <c r="A107" s="4" t="s">
        <v>90</v>
      </c>
      <c r="B107" t="s">
        <v>55</v>
      </c>
      <c r="C107">
        <v>198</v>
      </c>
      <c r="D107">
        <v>16</v>
      </c>
      <c r="E107">
        <v>21</v>
      </c>
      <c r="F107">
        <v>9</v>
      </c>
      <c r="G107">
        <v>49</v>
      </c>
      <c r="H107">
        <v>2</v>
      </c>
      <c r="I107">
        <v>1</v>
      </c>
      <c r="J107">
        <v>0</v>
      </c>
      <c r="K107">
        <v>0</v>
      </c>
      <c r="L107">
        <f>IF(Table2[[#This Row],[Death]] = MIN(E$102:E$111), 10, 0)</f>
        <v>0</v>
      </c>
      <c r="M107">
        <f>IF(Table2[[#This Row],[Assist]] = MAX(F$102:F$111), 10, 0)</f>
        <v>0</v>
      </c>
      <c r="N107">
        <f>IF(Table2[[#This Row],[First Bloods]] = MAX(H$102:H$111), 10, 0)</f>
        <v>0</v>
      </c>
      <c r="O107">
        <f>IF(Table2[[#This Row],[Plants]] = MAX(I$102:I$111), 10, 0)</f>
        <v>0</v>
      </c>
      <c r="P107">
        <f>IF(Table2[[#This Row],[Defuses]] = MAX(J$102:J$111), 10, 0)</f>
        <v>0</v>
      </c>
    </row>
    <row r="108" spans="1:16" x14ac:dyDescent="0.2">
      <c r="A108" s="4" t="s">
        <v>90</v>
      </c>
      <c r="B108" t="s">
        <v>54</v>
      </c>
      <c r="C108">
        <v>185</v>
      </c>
      <c r="D108">
        <v>17</v>
      </c>
      <c r="E108">
        <v>17</v>
      </c>
      <c r="F108">
        <v>10</v>
      </c>
      <c r="G108">
        <v>39</v>
      </c>
      <c r="H108">
        <v>3</v>
      </c>
      <c r="I108">
        <v>5</v>
      </c>
      <c r="J108">
        <v>1</v>
      </c>
      <c r="K108">
        <v>0</v>
      </c>
      <c r="L108">
        <f>IF(Table2[[#This Row],[Death]] = MIN(E$102:E$111), 10, 0)</f>
        <v>10</v>
      </c>
      <c r="M108">
        <f>IF(Table2[[#This Row],[Assist]] = MAX(F$102:F$111), 10, 0)</f>
        <v>0</v>
      </c>
      <c r="N108">
        <f>IF(Table2[[#This Row],[First Bloods]] = MAX(H$102:H$111), 10, 0)</f>
        <v>0</v>
      </c>
      <c r="O108">
        <f>IF(Table2[[#This Row],[Plants]] = MAX(I$102:I$111), 10, 0)</f>
        <v>0</v>
      </c>
      <c r="P108">
        <f>IF(Table2[[#This Row],[Defuses]] = MAX(J$102:J$111), 10, 0)</f>
        <v>0</v>
      </c>
    </row>
    <row r="109" spans="1:16" x14ac:dyDescent="0.2">
      <c r="A109" s="4" t="s">
        <v>90</v>
      </c>
      <c r="B109" t="s">
        <v>16</v>
      </c>
      <c r="C109">
        <v>170</v>
      </c>
      <c r="D109">
        <v>16</v>
      </c>
      <c r="E109">
        <v>18</v>
      </c>
      <c r="F109">
        <v>5</v>
      </c>
      <c r="G109">
        <v>42</v>
      </c>
      <c r="H109">
        <v>1</v>
      </c>
      <c r="I109">
        <v>3</v>
      </c>
      <c r="J109">
        <v>0</v>
      </c>
      <c r="K109">
        <v>50</v>
      </c>
      <c r="L109">
        <f>IF(Table2[[#This Row],[Death]] = MIN(E$102:E$111), 10, 0)</f>
        <v>0</v>
      </c>
      <c r="M109">
        <f>IF(Table2[[#This Row],[Assist]] = MAX(F$102:F$111), 10, 0)</f>
        <v>0</v>
      </c>
      <c r="N109">
        <f>IF(Table2[[#This Row],[First Bloods]] = MAX(H$102:H$111), 10, 0)</f>
        <v>0</v>
      </c>
      <c r="O109">
        <f>IF(Table2[[#This Row],[Plants]] = MAX(I$102:I$111), 10, 0)</f>
        <v>0</v>
      </c>
      <c r="P109">
        <f>IF(Table2[[#This Row],[Defuses]] = MAX(J$102:J$111), 10, 0)</f>
        <v>0</v>
      </c>
    </row>
    <row r="110" spans="1:16" x14ac:dyDescent="0.2">
      <c r="A110" s="4" t="s">
        <v>90</v>
      </c>
      <c r="B110" t="s">
        <v>56</v>
      </c>
      <c r="C110">
        <v>111</v>
      </c>
      <c r="D110">
        <v>9</v>
      </c>
      <c r="E110">
        <v>18</v>
      </c>
      <c r="F110">
        <v>5</v>
      </c>
      <c r="G110">
        <v>28</v>
      </c>
      <c r="H110">
        <v>0</v>
      </c>
      <c r="I110">
        <v>6</v>
      </c>
      <c r="J110">
        <v>0</v>
      </c>
      <c r="K110">
        <v>50</v>
      </c>
      <c r="L110">
        <f>IF(Table2[[#This Row],[Death]] = MIN(E$102:E$111), 10, 0)</f>
        <v>0</v>
      </c>
      <c r="M110">
        <f>IF(Table2[[#This Row],[Assist]] = MAX(F$102:F$111), 10, 0)</f>
        <v>0</v>
      </c>
      <c r="N110">
        <f>IF(Table2[[#This Row],[First Bloods]] = MAX(H$102:H$111), 10, 0)</f>
        <v>0</v>
      </c>
      <c r="O110">
        <f>IF(Table2[[#This Row],[Plants]] = MAX(I$102:I$111), 10, 0)</f>
        <v>10</v>
      </c>
      <c r="P110">
        <f>IF(Table2[[#This Row],[Defuses]] = MAX(J$102:J$111), 10, 0)</f>
        <v>0</v>
      </c>
    </row>
    <row r="111" spans="1:16" x14ac:dyDescent="0.2">
      <c r="A111" s="7" t="s">
        <v>90</v>
      </c>
      <c r="B111" s="2" t="s">
        <v>18</v>
      </c>
      <c r="C111" s="2">
        <v>86</v>
      </c>
      <c r="D111" s="2">
        <v>5</v>
      </c>
      <c r="E111" s="2">
        <v>22</v>
      </c>
      <c r="F111" s="2">
        <v>9</v>
      </c>
      <c r="G111" s="2">
        <v>28</v>
      </c>
      <c r="H111" s="2">
        <v>1</v>
      </c>
      <c r="I111" s="2">
        <v>2</v>
      </c>
      <c r="J111" s="2">
        <v>0</v>
      </c>
      <c r="K111" s="2">
        <v>0</v>
      </c>
      <c r="L111" s="2">
        <f>IF(Table2[[#This Row],[Death]] = MIN(E$102:E$111), 10, 0)</f>
        <v>0</v>
      </c>
      <c r="M111" s="2">
        <f>IF(Table2[[#This Row],[Assist]] = MAX(F$102:F$111), 10, 0)</f>
        <v>0</v>
      </c>
      <c r="N111" s="2">
        <f>IF(Table2[[#This Row],[First Bloods]] = MAX(H$102:H$111), 10, 0)</f>
        <v>0</v>
      </c>
      <c r="O111" s="2">
        <f>IF(Table2[[#This Row],[Plants]] = MAX(I$102:I$111), 10, 0)</f>
        <v>0</v>
      </c>
      <c r="P111" s="2">
        <f>IF(Table2[[#This Row],[Defuses]] = MAX(J$102:J$111), 10, 0)</f>
        <v>0</v>
      </c>
    </row>
    <row r="112" spans="1:16" x14ac:dyDescent="0.2">
      <c r="A112" s="4" t="s">
        <v>91</v>
      </c>
      <c r="B112" t="s">
        <v>21</v>
      </c>
      <c r="C112">
        <v>394</v>
      </c>
      <c r="D112">
        <v>25</v>
      </c>
      <c r="E112">
        <v>12</v>
      </c>
      <c r="F112">
        <v>0</v>
      </c>
      <c r="G112">
        <v>96</v>
      </c>
      <c r="H112">
        <v>5</v>
      </c>
      <c r="I112">
        <v>1</v>
      </c>
      <c r="J112">
        <v>0</v>
      </c>
      <c r="K112">
        <v>50</v>
      </c>
      <c r="L112">
        <f>IF(Table2[[#This Row],[Death]] = MIN(E$112:E$121), 10, 0)</f>
        <v>0</v>
      </c>
      <c r="M112">
        <f>IF(Table2[[#This Row],[Assist]] = MAX(F$112:F$121), 10, 0)</f>
        <v>0</v>
      </c>
      <c r="N112">
        <f>IF(Table2[[#This Row],[First Bloods]] = MAX(H$112:H$121), 10, 0)</f>
        <v>10</v>
      </c>
      <c r="O112">
        <f>IF(Table2[[#This Row],[Plants]] = MAX(I$112:I$121), 10, 0)</f>
        <v>0</v>
      </c>
      <c r="P112">
        <f>IF(Table2[[#This Row],[Defuses]] = MAX(J$112:J$121), 10, 0)</f>
        <v>0</v>
      </c>
    </row>
    <row r="113" spans="1:16" x14ac:dyDescent="0.2">
      <c r="A113" s="4" t="s">
        <v>91</v>
      </c>
      <c r="B113" t="s">
        <v>37</v>
      </c>
      <c r="C113">
        <v>288</v>
      </c>
      <c r="D113">
        <v>17</v>
      </c>
      <c r="E113">
        <v>15</v>
      </c>
      <c r="F113">
        <v>2</v>
      </c>
      <c r="G113">
        <v>80</v>
      </c>
      <c r="H113">
        <v>5</v>
      </c>
      <c r="I113">
        <v>0</v>
      </c>
      <c r="J113">
        <v>0</v>
      </c>
      <c r="K113">
        <v>0</v>
      </c>
      <c r="L113">
        <f>IF(Table2[[#This Row],[Death]] = MIN(E$112:E$121), 10, 0)</f>
        <v>0</v>
      </c>
      <c r="M113">
        <f>IF(Table2[[#This Row],[Assist]] = MAX(F$112:F$121), 10, 0)</f>
        <v>0</v>
      </c>
      <c r="N113">
        <f>IF(Table2[[#This Row],[First Bloods]] = MAX(H$112:H$121), 10, 0)</f>
        <v>10</v>
      </c>
      <c r="O113">
        <f>IF(Table2[[#This Row],[Plants]] = MAX(I$112:I$121), 10, 0)</f>
        <v>0</v>
      </c>
      <c r="P113">
        <f>IF(Table2[[#This Row],[Defuses]] = MAX(J$112:J$121), 10, 0)</f>
        <v>0</v>
      </c>
    </row>
    <row r="114" spans="1:16" x14ac:dyDescent="0.2">
      <c r="A114" s="4" t="s">
        <v>91</v>
      </c>
      <c r="B114" t="s">
        <v>54</v>
      </c>
      <c r="C114">
        <v>253</v>
      </c>
      <c r="D114">
        <v>14</v>
      </c>
      <c r="E114">
        <v>15</v>
      </c>
      <c r="F114">
        <v>9</v>
      </c>
      <c r="G114">
        <v>56</v>
      </c>
      <c r="H114">
        <v>3</v>
      </c>
      <c r="I114">
        <v>0</v>
      </c>
      <c r="J114">
        <v>0</v>
      </c>
      <c r="K114">
        <v>0</v>
      </c>
      <c r="L114">
        <f>IF(Table2[[#This Row],[Death]] = MIN(E$112:E$121), 10, 0)</f>
        <v>0</v>
      </c>
      <c r="M114">
        <f>IF(Table2[[#This Row],[Assist]] = MAX(F$112:F$121), 10, 0)</f>
        <v>10</v>
      </c>
      <c r="N114">
        <f>IF(Table2[[#This Row],[First Bloods]] = MAX(H$112:H$121), 10, 0)</f>
        <v>0</v>
      </c>
      <c r="O114">
        <f>IF(Table2[[#This Row],[Plants]] = MAX(I$112:I$121), 10, 0)</f>
        <v>0</v>
      </c>
      <c r="P114">
        <f>IF(Table2[[#This Row],[Defuses]] = MAX(J$112:J$121), 10, 0)</f>
        <v>0</v>
      </c>
    </row>
    <row r="115" spans="1:16" x14ac:dyDescent="0.2">
      <c r="A115" s="4" t="s">
        <v>91</v>
      </c>
      <c r="B115" t="s">
        <v>16</v>
      </c>
      <c r="C115">
        <v>211</v>
      </c>
      <c r="D115">
        <v>13</v>
      </c>
      <c r="E115">
        <v>11</v>
      </c>
      <c r="F115">
        <v>4</v>
      </c>
      <c r="G115">
        <v>58</v>
      </c>
      <c r="H115">
        <v>1</v>
      </c>
      <c r="I115">
        <v>3</v>
      </c>
      <c r="J115">
        <v>0</v>
      </c>
      <c r="K115">
        <v>50</v>
      </c>
      <c r="L115">
        <f>IF(Table2[[#This Row],[Death]] = MIN(E$112:E$121), 10, 0)</f>
        <v>0</v>
      </c>
      <c r="M115">
        <f>IF(Table2[[#This Row],[Assist]] = MAX(F$112:F$121), 10, 0)</f>
        <v>0</v>
      </c>
      <c r="N115">
        <f>IF(Table2[[#This Row],[First Bloods]] = MAX(H$112:H$121), 10, 0)</f>
        <v>0</v>
      </c>
      <c r="O115">
        <f>IF(Table2[[#This Row],[Plants]] = MAX(I$112:I$121), 10, 0)</f>
        <v>10</v>
      </c>
      <c r="P115">
        <f>IF(Table2[[#This Row],[Defuses]] = MAX(J$112:J$121), 10, 0)</f>
        <v>0</v>
      </c>
    </row>
    <row r="116" spans="1:16" x14ac:dyDescent="0.2">
      <c r="A116" s="4" t="s">
        <v>91</v>
      </c>
      <c r="B116" t="s">
        <v>60</v>
      </c>
      <c r="C116">
        <v>199</v>
      </c>
      <c r="D116">
        <v>12</v>
      </c>
      <c r="E116">
        <v>15</v>
      </c>
      <c r="F116">
        <v>2</v>
      </c>
      <c r="G116">
        <v>45</v>
      </c>
      <c r="H116">
        <v>2</v>
      </c>
      <c r="I116">
        <v>0</v>
      </c>
      <c r="J116">
        <v>0</v>
      </c>
      <c r="K116">
        <v>50</v>
      </c>
      <c r="L116">
        <f>IF(Table2[[#This Row],[Death]] = MIN(E$112:E$121), 10, 0)</f>
        <v>0</v>
      </c>
      <c r="M116">
        <f>IF(Table2[[#This Row],[Assist]] = MAX(F$112:F$121), 10, 0)</f>
        <v>0</v>
      </c>
      <c r="N116">
        <f>IF(Table2[[#This Row],[First Bloods]] = MAX(H$112:H$121), 10, 0)</f>
        <v>0</v>
      </c>
      <c r="O116">
        <f>IF(Table2[[#This Row],[Plants]] = MAX(I$112:I$121), 10, 0)</f>
        <v>0</v>
      </c>
      <c r="P116">
        <f>IF(Table2[[#This Row],[Defuses]] = MAX(J$112:J$121), 10, 0)</f>
        <v>0</v>
      </c>
    </row>
    <row r="117" spans="1:16" x14ac:dyDescent="0.2">
      <c r="A117" s="4" t="s">
        <v>91</v>
      </c>
      <c r="B117" t="s">
        <v>55</v>
      </c>
      <c r="C117">
        <v>196</v>
      </c>
      <c r="D117">
        <v>12</v>
      </c>
      <c r="E117">
        <v>15</v>
      </c>
      <c r="F117">
        <v>5</v>
      </c>
      <c r="G117">
        <v>52</v>
      </c>
      <c r="H117">
        <v>0</v>
      </c>
      <c r="I117">
        <v>0</v>
      </c>
      <c r="J117">
        <v>1</v>
      </c>
      <c r="K117">
        <v>0</v>
      </c>
      <c r="L117">
        <f>IF(Table2[[#This Row],[Death]] = MIN(E$112:E$121), 10, 0)</f>
        <v>0</v>
      </c>
      <c r="M117">
        <f>IF(Table2[[#This Row],[Assist]] = MAX(F$112:F$121), 10, 0)</f>
        <v>0</v>
      </c>
      <c r="N117">
        <f>IF(Table2[[#This Row],[First Bloods]] = MAX(H$112:H$121), 10, 0)</f>
        <v>0</v>
      </c>
      <c r="O117">
        <f>IF(Table2[[#This Row],[Plants]] = MAX(I$112:I$121), 10, 0)</f>
        <v>0</v>
      </c>
      <c r="P117">
        <f>IF(Table2[[#This Row],[Defuses]] = MAX(J$112:J$121), 10, 0)</f>
        <v>10</v>
      </c>
    </row>
    <row r="118" spans="1:16" x14ac:dyDescent="0.2">
      <c r="A118" s="4" t="s">
        <v>91</v>
      </c>
      <c r="B118" t="s">
        <v>13</v>
      </c>
      <c r="C118">
        <v>193</v>
      </c>
      <c r="D118">
        <v>12</v>
      </c>
      <c r="E118">
        <v>11</v>
      </c>
      <c r="F118">
        <v>5</v>
      </c>
      <c r="G118">
        <v>67</v>
      </c>
      <c r="H118">
        <v>0</v>
      </c>
      <c r="I118">
        <v>2</v>
      </c>
      <c r="J118">
        <v>0</v>
      </c>
      <c r="K118">
        <v>50</v>
      </c>
      <c r="L118">
        <f>IF(Table2[[#This Row],[Death]] = MIN(E$112:E$121), 10, 0)</f>
        <v>0</v>
      </c>
      <c r="M118">
        <f>IF(Table2[[#This Row],[Assist]] = MAX(F$112:F$121), 10, 0)</f>
        <v>0</v>
      </c>
      <c r="N118">
        <f>IF(Table2[[#This Row],[First Bloods]] = MAX(H$112:H$121), 10, 0)</f>
        <v>0</v>
      </c>
      <c r="O118">
        <f>IF(Table2[[#This Row],[Plants]] = MAX(I$112:I$121), 10, 0)</f>
        <v>0</v>
      </c>
      <c r="P118">
        <f>IF(Table2[[#This Row],[Defuses]] = MAX(J$112:J$121), 10, 0)</f>
        <v>0</v>
      </c>
    </row>
    <row r="119" spans="1:16" x14ac:dyDescent="0.2">
      <c r="A119" s="4" t="s">
        <v>91</v>
      </c>
      <c r="B119" t="s">
        <v>56</v>
      </c>
      <c r="C119">
        <v>162</v>
      </c>
      <c r="D119">
        <v>11</v>
      </c>
      <c r="E119">
        <v>10</v>
      </c>
      <c r="F119">
        <v>1</v>
      </c>
      <c r="G119">
        <v>47</v>
      </c>
      <c r="H119">
        <v>0</v>
      </c>
      <c r="I119">
        <v>2</v>
      </c>
      <c r="J119">
        <v>0</v>
      </c>
      <c r="K119">
        <v>50</v>
      </c>
      <c r="L119">
        <f>IF(Table2[[#This Row],[Death]] = MIN(E$112:E$121), 10, 0)</f>
        <v>10</v>
      </c>
      <c r="M119">
        <f>IF(Table2[[#This Row],[Assist]] = MAX(F$112:F$121), 10, 0)</f>
        <v>0</v>
      </c>
      <c r="N119">
        <f>IF(Table2[[#This Row],[First Bloods]] = MAX(H$112:H$121), 10, 0)</f>
        <v>0</v>
      </c>
      <c r="O119">
        <f>IF(Table2[[#This Row],[Plants]] = MAX(I$112:I$121), 10, 0)</f>
        <v>0</v>
      </c>
      <c r="P119">
        <f>IF(Table2[[#This Row],[Defuses]] = MAX(J$112:J$121), 10, 0)</f>
        <v>0</v>
      </c>
    </row>
    <row r="120" spans="1:16" x14ac:dyDescent="0.2">
      <c r="A120" s="4" t="s">
        <v>91</v>
      </c>
      <c r="B120" t="s">
        <v>17</v>
      </c>
      <c r="C120">
        <v>146</v>
      </c>
      <c r="D120">
        <v>11</v>
      </c>
      <c r="E120">
        <v>14</v>
      </c>
      <c r="F120">
        <v>5</v>
      </c>
      <c r="G120">
        <v>37</v>
      </c>
      <c r="H120">
        <v>0</v>
      </c>
      <c r="I120">
        <v>1</v>
      </c>
      <c r="J120">
        <v>0</v>
      </c>
      <c r="K120">
        <v>0</v>
      </c>
      <c r="L120">
        <f>IF(Table2[[#This Row],[Death]] = MIN(E$112:E$121), 10, 0)</f>
        <v>0</v>
      </c>
      <c r="M120">
        <f>IF(Table2[[#This Row],[Assist]] = MAX(F$112:F$121), 10, 0)</f>
        <v>0</v>
      </c>
      <c r="N120">
        <f>IF(Table2[[#This Row],[First Bloods]] = MAX(H$112:H$121), 10, 0)</f>
        <v>0</v>
      </c>
      <c r="O120">
        <f>IF(Table2[[#This Row],[Plants]] = MAX(I$112:I$121), 10, 0)</f>
        <v>0</v>
      </c>
      <c r="P120">
        <f>IF(Table2[[#This Row],[Defuses]] = MAX(J$112:J$121), 10, 0)</f>
        <v>0</v>
      </c>
    </row>
    <row r="121" spans="1:16" x14ac:dyDescent="0.2">
      <c r="A121" s="7" t="s">
        <v>91</v>
      </c>
      <c r="B121" s="2" t="s">
        <v>18</v>
      </c>
      <c r="C121" s="2">
        <v>129</v>
      </c>
      <c r="D121" s="2">
        <v>5</v>
      </c>
      <c r="E121" s="2">
        <v>14</v>
      </c>
      <c r="F121" s="2">
        <v>6</v>
      </c>
      <c r="G121" s="2">
        <v>63</v>
      </c>
      <c r="H121" s="2">
        <v>1</v>
      </c>
      <c r="I121" s="2">
        <v>1</v>
      </c>
      <c r="J121" s="2">
        <v>0</v>
      </c>
      <c r="K121" s="2">
        <v>0</v>
      </c>
      <c r="L121" s="2">
        <f>IF(Table2[[#This Row],[Death]] = MIN(E$112:E$121), 10, 0)</f>
        <v>0</v>
      </c>
      <c r="M121" s="2">
        <f>IF(Table2[[#This Row],[Assist]] = MAX(F$112:F$121), 10, 0)</f>
        <v>0</v>
      </c>
      <c r="N121" s="2">
        <f>IF(Table2[[#This Row],[First Bloods]] = MAX(H$112:H$121), 10, 0)</f>
        <v>0</v>
      </c>
      <c r="O121" s="2">
        <f>IF(Table2[[#This Row],[Plants]] = MAX(I$112:I$121), 10, 0)</f>
        <v>0</v>
      </c>
      <c r="P121" s="2">
        <f>IF(Table2[[#This Row],[Defuses]] = MAX(J$112:J$121), 10, 0)</f>
        <v>0</v>
      </c>
    </row>
    <row r="122" spans="1:16" x14ac:dyDescent="0.2">
      <c r="A122" s="4" t="s">
        <v>92</v>
      </c>
      <c r="B122" t="s">
        <v>21</v>
      </c>
      <c r="C122">
        <v>343</v>
      </c>
      <c r="D122">
        <v>22</v>
      </c>
      <c r="E122">
        <v>9</v>
      </c>
      <c r="F122">
        <v>6</v>
      </c>
      <c r="G122">
        <v>98</v>
      </c>
      <c r="H122">
        <v>2</v>
      </c>
      <c r="I122">
        <v>1</v>
      </c>
      <c r="J122">
        <v>1</v>
      </c>
      <c r="K122">
        <v>0</v>
      </c>
      <c r="L122">
        <f>IF(Table2[[#This Row],[Death]] = MIN(E$122:E$131), 10, 0)</f>
        <v>0</v>
      </c>
      <c r="M122">
        <f>IF(Table2[[#This Row],[Assist]] = MAX(F$122:F$131), 10, 0)</f>
        <v>10</v>
      </c>
      <c r="N122">
        <f>IF(Table2[[#This Row],[First Bloods]] = MAX(H$122:H$131), 10, 0)</f>
        <v>0</v>
      </c>
      <c r="O122">
        <f>IF(Table2[[#This Row],[Plants]] = MAX(I$122:I$131), 10, 0)</f>
        <v>0</v>
      </c>
      <c r="P122">
        <f>IF(Table2[[#This Row],[Defuses]] = MAX(J$122:J$131), 10, 0)</f>
        <v>10</v>
      </c>
    </row>
    <row r="123" spans="1:16" x14ac:dyDescent="0.2">
      <c r="A123" s="4" t="s">
        <v>92</v>
      </c>
      <c r="B123" t="s">
        <v>60</v>
      </c>
      <c r="C123">
        <v>333</v>
      </c>
      <c r="D123">
        <v>19</v>
      </c>
      <c r="E123">
        <v>9</v>
      </c>
      <c r="F123">
        <v>5</v>
      </c>
      <c r="G123">
        <v>114</v>
      </c>
      <c r="H123">
        <v>3</v>
      </c>
      <c r="I123">
        <v>0</v>
      </c>
      <c r="J123">
        <v>0</v>
      </c>
      <c r="K123">
        <v>0</v>
      </c>
      <c r="L123">
        <f>IF(Table2[[#This Row],[Death]] = MIN(E$122:E$131), 10, 0)</f>
        <v>0</v>
      </c>
      <c r="M123">
        <f>IF(Table2[[#This Row],[Assist]] = MAX(F$122:F$131), 10, 0)</f>
        <v>0</v>
      </c>
      <c r="N123">
        <f>IF(Table2[[#This Row],[First Bloods]] = MAX(H$122:H$131), 10, 0)</f>
        <v>10</v>
      </c>
      <c r="O123">
        <f>IF(Table2[[#This Row],[Plants]] = MAX(I$122:I$131), 10, 0)</f>
        <v>0</v>
      </c>
      <c r="P123">
        <f>IF(Table2[[#This Row],[Defuses]] = MAX(J$122:J$131), 10, 0)</f>
        <v>0</v>
      </c>
    </row>
    <row r="124" spans="1:16" x14ac:dyDescent="0.2">
      <c r="A124" s="4" t="s">
        <v>92</v>
      </c>
      <c r="B124" t="s">
        <v>11</v>
      </c>
      <c r="C124">
        <v>248</v>
      </c>
      <c r="D124">
        <v>15</v>
      </c>
      <c r="E124">
        <v>15</v>
      </c>
      <c r="F124">
        <v>3</v>
      </c>
      <c r="G124">
        <v>55</v>
      </c>
      <c r="H124">
        <v>3</v>
      </c>
      <c r="I124">
        <v>1</v>
      </c>
      <c r="J124">
        <v>1</v>
      </c>
      <c r="K124">
        <v>0</v>
      </c>
      <c r="L124">
        <f>IF(Table2[[#This Row],[Death]] = MIN(E$122:E$131), 10, 0)</f>
        <v>0</v>
      </c>
      <c r="M124">
        <f>IF(Table2[[#This Row],[Assist]] = MAX(F$122:F$131), 10, 0)</f>
        <v>0</v>
      </c>
      <c r="N124">
        <f>IF(Table2[[#This Row],[First Bloods]] = MAX(H$122:H$131), 10, 0)</f>
        <v>10</v>
      </c>
      <c r="O124">
        <f>IF(Table2[[#This Row],[Plants]] = MAX(I$122:I$131), 10, 0)</f>
        <v>0</v>
      </c>
      <c r="P124">
        <f>IF(Table2[[#This Row],[Defuses]] = MAX(J$122:J$131), 10, 0)</f>
        <v>10</v>
      </c>
    </row>
    <row r="125" spans="1:16" x14ac:dyDescent="0.2">
      <c r="A125" s="4" t="s">
        <v>92</v>
      </c>
      <c r="B125" t="s">
        <v>13</v>
      </c>
      <c r="C125">
        <v>192</v>
      </c>
      <c r="D125">
        <v>15</v>
      </c>
      <c r="E125">
        <v>7</v>
      </c>
      <c r="F125">
        <v>3</v>
      </c>
      <c r="G125">
        <v>79</v>
      </c>
      <c r="H125">
        <v>2</v>
      </c>
      <c r="I125">
        <v>2</v>
      </c>
      <c r="J125">
        <v>0</v>
      </c>
      <c r="K125">
        <v>0</v>
      </c>
      <c r="L125">
        <f>IF(Table2[[#This Row],[Death]] = MIN(E$122:E$131), 10, 0)</f>
        <v>10</v>
      </c>
      <c r="M125">
        <f>IF(Table2[[#This Row],[Assist]] = MAX(F$122:F$131), 10, 0)</f>
        <v>0</v>
      </c>
      <c r="N125">
        <f>IF(Table2[[#This Row],[First Bloods]] = MAX(H$122:H$131), 10, 0)</f>
        <v>0</v>
      </c>
      <c r="O125">
        <f>IF(Table2[[#This Row],[Plants]] = MAX(I$122:I$131), 10, 0)</f>
        <v>0</v>
      </c>
      <c r="P125">
        <f>IF(Table2[[#This Row],[Defuses]] = MAX(J$122:J$131), 10, 0)</f>
        <v>0</v>
      </c>
    </row>
    <row r="126" spans="1:16" x14ac:dyDescent="0.2">
      <c r="A126" s="4" t="s">
        <v>92</v>
      </c>
      <c r="B126" t="s">
        <v>61</v>
      </c>
      <c r="C126">
        <v>191</v>
      </c>
      <c r="D126">
        <v>13</v>
      </c>
      <c r="E126">
        <v>14</v>
      </c>
      <c r="F126">
        <v>6</v>
      </c>
      <c r="G126">
        <v>43</v>
      </c>
      <c r="H126">
        <v>1</v>
      </c>
      <c r="I126">
        <v>3</v>
      </c>
      <c r="J126">
        <v>0</v>
      </c>
      <c r="K126">
        <v>0</v>
      </c>
      <c r="L126">
        <f>IF(Table2[[#This Row],[Death]] = MIN(E$122:E$131), 10, 0)</f>
        <v>0</v>
      </c>
      <c r="M126">
        <f>IF(Table2[[#This Row],[Assist]] = MAX(F$122:F$131), 10, 0)</f>
        <v>10</v>
      </c>
      <c r="N126">
        <f>IF(Table2[[#This Row],[First Bloods]] = MAX(H$122:H$131), 10, 0)</f>
        <v>0</v>
      </c>
      <c r="O126">
        <f>IF(Table2[[#This Row],[Plants]] = MAX(I$122:I$131), 10, 0)</f>
        <v>10</v>
      </c>
      <c r="P126">
        <f>IF(Table2[[#This Row],[Defuses]] = MAX(J$122:J$131), 10, 0)</f>
        <v>0</v>
      </c>
    </row>
    <row r="127" spans="1:16" x14ac:dyDescent="0.2">
      <c r="A127" s="4" t="s">
        <v>92</v>
      </c>
      <c r="B127" t="s">
        <v>18</v>
      </c>
      <c r="C127">
        <v>180</v>
      </c>
      <c r="D127">
        <v>10</v>
      </c>
      <c r="E127">
        <v>15</v>
      </c>
      <c r="F127">
        <v>3</v>
      </c>
      <c r="G127">
        <v>49</v>
      </c>
      <c r="H127">
        <v>1</v>
      </c>
      <c r="I127">
        <v>0</v>
      </c>
      <c r="J127">
        <v>0</v>
      </c>
      <c r="K127">
        <v>0</v>
      </c>
      <c r="L127">
        <f>IF(Table2[[#This Row],[Death]] = MIN(E$122:E$131), 10, 0)</f>
        <v>0</v>
      </c>
      <c r="M127">
        <f>IF(Table2[[#This Row],[Assist]] = MAX(F$122:F$131), 10, 0)</f>
        <v>0</v>
      </c>
      <c r="N127">
        <f>IF(Table2[[#This Row],[First Bloods]] = MAX(H$122:H$131), 10, 0)</f>
        <v>0</v>
      </c>
      <c r="O127">
        <f>IF(Table2[[#This Row],[Plants]] = MAX(I$122:I$131), 10, 0)</f>
        <v>0</v>
      </c>
      <c r="P127">
        <f>IF(Table2[[#This Row],[Defuses]] = MAX(J$122:J$131), 10, 0)</f>
        <v>0</v>
      </c>
    </row>
    <row r="128" spans="1:16" x14ac:dyDescent="0.2">
      <c r="A128" s="4" t="s">
        <v>92</v>
      </c>
      <c r="B128" t="s">
        <v>62</v>
      </c>
      <c r="C128">
        <v>170</v>
      </c>
      <c r="D128">
        <v>11</v>
      </c>
      <c r="E128">
        <v>15</v>
      </c>
      <c r="F128">
        <v>0</v>
      </c>
      <c r="G128">
        <v>41</v>
      </c>
      <c r="H128">
        <v>2</v>
      </c>
      <c r="I128">
        <v>0</v>
      </c>
      <c r="J128">
        <v>0</v>
      </c>
      <c r="K128">
        <v>0</v>
      </c>
      <c r="L128">
        <f>IF(Table2[[#This Row],[Death]] = MIN(E$122:E$131), 10, 0)</f>
        <v>0</v>
      </c>
      <c r="M128">
        <f>IF(Table2[[#This Row],[Assist]] = MAX(F$122:F$131), 10, 0)</f>
        <v>0</v>
      </c>
      <c r="N128">
        <f>IF(Table2[[#This Row],[First Bloods]] = MAX(H$122:H$131), 10, 0)</f>
        <v>0</v>
      </c>
      <c r="O128">
        <f>IF(Table2[[#This Row],[Plants]] = MAX(I$122:I$131), 10, 0)</f>
        <v>0</v>
      </c>
      <c r="P128">
        <f>IF(Table2[[#This Row],[Defuses]] = MAX(J$122:J$131), 10, 0)</f>
        <v>0</v>
      </c>
    </row>
    <row r="129" spans="1:16" x14ac:dyDescent="0.2">
      <c r="A129" s="4" t="s">
        <v>92</v>
      </c>
      <c r="B129" t="s">
        <v>37</v>
      </c>
      <c r="C129">
        <v>162</v>
      </c>
      <c r="D129">
        <v>9</v>
      </c>
      <c r="E129">
        <v>17</v>
      </c>
      <c r="F129">
        <v>1</v>
      </c>
      <c r="G129">
        <v>41</v>
      </c>
      <c r="H129">
        <v>2</v>
      </c>
      <c r="I129">
        <v>0</v>
      </c>
      <c r="J129">
        <v>0</v>
      </c>
      <c r="K129">
        <v>0</v>
      </c>
      <c r="L129">
        <f>IF(Table2[[#This Row],[Death]] = MIN(E$122:E$131), 10, 0)</f>
        <v>0</v>
      </c>
      <c r="M129">
        <f>IF(Table2[[#This Row],[Assist]] = MAX(F$122:F$131), 10, 0)</f>
        <v>0</v>
      </c>
      <c r="N129">
        <f>IF(Table2[[#This Row],[First Bloods]] = MAX(H$122:H$131), 10, 0)</f>
        <v>0</v>
      </c>
      <c r="O129">
        <f>IF(Table2[[#This Row],[Plants]] = MAX(I$122:I$131), 10, 0)</f>
        <v>0</v>
      </c>
      <c r="P129">
        <f>IF(Table2[[#This Row],[Defuses]] = MAX(J$122:J$131), 10, 0)</f>
        <v>0</v>
      </c>
    </row>
    <row r="130" spans="1:16" x14ac:dyDescent="0.2">
      <c r="A130" s="4" t="s">
        <v>92</v>
      </c>
      <c r="B130" t="s">
        <v>16</v>
      </c>
      <c r="C130">
        <v>161</v>
      </c>
      <c r="D130">
        <v>10</v>
      </c>
      <c r="E130">
        <v>11</v>
      </c>
      <c r="F130">
        <v>1</v>
      </c>
      <c r="G130">
        <v>44</v>
      </c>
      <c r="H130">
        <v>1</v>
      </c>
      <c r="I130">
        <v>3</v>
      </c>
      <c r="J130">
        <v>0</v>
      </c>
      <c r="K130">
        <v>0</v>
      </c>
      <c r="L130">
        <f>IF(Table2[[#This Row],[Death]] = MIN(E$122:E$131), 10, 0)</f>
        <v>0</v>
      </c>
      <c r="M130">
        <f>IF(Table2[[#This Row],[Assist]] = MAX(F$122:F$131), 10, 0)</f>
        <v>0</v>
      </c>
      <c r="N130">
        <f>IF(Table2[[#This Row],[First Bloods]] = MAX(H$122:H$131), 10, 0)</f>
        <v>0</v>
      </c>
      <c r="O130">
        <f>IF(Table2[[#This Row],[Plants]] = MAX(I$122:I$131), 10, 0)</f>
        <v>10</v>
      </c>
      <c r="P130">
        <f>IF(Table2[[#This Row],[Defuses]] = MAX(J$122:J$131), 10, 0)</f>
        <v>0</v>
      </c>
    </row>
    <row r="131" spans="1:16" x14ac:dyDescent="0.2">
      <c r="A131" s="7" t="s">
        <v>92</v>
      </c>
      <c r="B131" s="2" t="s">
        <v>56</v>
      </c>
      <c r="C131" s="2">
        <v>107</v>
      </c>
      <c r="D131" s="2">
        <v>5</v>
      </c>
      <c r="E131" s="2">
        <v>17</v>
      </c>
      <c r="F131" s="2">
        <v>4</v>
      </c>
      <c r="G131" s="2">
        <v>32</v>
      </c>
      <c r="H131" s="2">
        <v>0</v>
      </c>
      <c r="I131" s="2">
        <v>1</v>
      </c>
      <c r="J131" s="2">
        <v>0</v>
      </c>
      <c r="K131" s="2">
        <v>0</v>
      </c>
      <c r="L131" s="2">
        <f>IF(Table2[[#This Row],[Death]] = MIN(E$122:E$131), 10, 0)</f>
        <v>0</v>
      </c>
      <c r="M131" s="2">
        <f>IF(Table2[[#This Row],[Assist]] = MAX(F$122:F$131), 10, 0)</f>
        <v>0</v>
      </c>
      <c r="N131" s="2">
        <f>IF(Table2[[#This Row],[First Bloods]] = MAX(H$122:H$131), 10, 0)</f>
        <v>0</v>
      </c>
      <c r="O131" s="2">
        <f>IF(Table2[[#This Row],[Plants]] = MAX(I$122:I$131), 10, 0)</f>
        <v>0</v>
      </c>
      <c r="P131" s="2">
        <f>IF(Table2[[#This Row],[Defuses]] = MAX(J$122:J$131), 10, 0)</f>
        <v>0</v>
      </c>
    </row>
    <row r="132" spans="1:16" x14ac:dyDescent="0.2">
      <c r="A132" s="4" t="s">
        <v>93</v>
      </c>
      <c r="B132" t="s">
        <v>37</v>
      </c>
      <c r="C132">
        <v>436</v>
      </c>
      <c r="D132">
        <v>36</v>
      </c>
      <c r="E132">
        <v>16</v>
      </c>
      <c r="F132">
        <v>4</v>
      </c>
      <c r="G132">
        <v>118</v>
      </c>
      <c r="H132">
        <v>3</v>
      </c>
      <c r="I132">
        <v>0</v>
      </c>
      <c r="J132">
        <v>0</v>
      </c>
      <c r="K132">
        <v>0</v>
      </c>
      <c r="L132">
        <f>IF(Table2[[#This Row],[Death]] = MIN(E$132:E$141), 10, 0)</f>
        <v>0</v>
      </c>
      <c r="M132">
        <f>IF(Table2[[#This Row],[Assist]] = MAX(F$132:F$141), 10, 0)</f>
        <v>0</v>
      </c>
      <c r="N132">
        <f>IF(Table2[[#This Row],[First Bloods]] = MAX(H$132:H$141), 10, 0)</f>
        <v>0</v>
      </c>
      <c r="O132">
        <f>IF(Table2[[#This Row],[Plants]] = MAX(I$132:I$141), 10, 0)</f>
        <v>0</v>
      </c>
      <c r="P132">
        <f>IF(Table2[[#This Row],[Defuses]] = MAX(J$132:J$141), 10, 0)</f>
        <v>0</v>
      </c>
    </row>
    <row r="133" spans="1:16" x14ac:dyDescent="0.2">
      <c r="A133" s="4" t="s">
        <v>93</v>
      </c>
      <c r="B133" t="s">
        <v>60</v>
      </c>
      <c r="C133">
        <v>278</v>
      </c>
      <c r="D133">
        <v>22</v>
      </c>
      <c r="E133">
        <v>19</v>
      </c>
      <c r="F133">
        <v>5</v>
      </c>
      <c r="G133">
        <v>66</v>
      </c>
      <c r="H133">
        <v>3</v>
      </c>
      <c r="I133">
        <v>0</v>
      </c>
      <c r="J133">
        <v>1</v>
      </c>
      <c r="K133">
        <v>50</v>
      </c>
      <c r="L133">
        <f>IF(Table2[[#This Row],[Death]] = MIN(E$132:E$141), 10, 0)</f>
        <v>0</v>
      </c>
      <c r="M133">
        <f>IF(Table2[[#This Row],[Assist]] = MAX(F$132:F$141), 10, 0)</f>
        <v>0</v>
      </c>
      <c r="N133">
        <f>IF(Table2[[#This Row],[First Bloods]] = MAX(H$132:H$141), 10, 0)</f>
        <v>0</v>
      </c>
      <c r="O133">
        <f>IF(Table2[[#This Row],[Plants]] = MAX(I$132:I$141), 10, 0)</f>
        <v>0</v>
      </c>
      <c r="P133">
        <f>IF(Table2[[#This Row],[Defuses]] = MAX(J$132:J$141), 10, 0)</f>
        <v>0</v>
      </c>
    </row>
    <row r="134" spans="1:16" x14ac:dyDescent="0.2">
      <c r="A134" s="4" t="s">
        <v>93</v>
      </c>
      <c r="B134" t="s">
        <v>61</v>
      </c>
      <c r="C134">
        <v>248</v>
      </c>
      <c r="D134">
        <v>21</v>
      </c>
      <c r="E134">
        <v>16</v>
      </c>
      <c r="F134">
        <v>7</v>
      </c>
      <c r="G134">
        <v>71</v>
      </c>
      <c r="H134">
        <v>1</v>
      </c>
      <c r="I134">
        <v>6</v>
      </c>
      <c r="J134">
        <v>1</v>
      </c>
      <c r="K134">
        <v>50</v>
      </c>
      <c r="L134">
        <f>IF(Table2[[#This Row],[Death]] = MIN(E$132:E$141), 10, 0)</f>
        <v>0</v>
      </c>
      <c r="M134">
        <f>IF(Table2[[#This Row],[Assist]] = MAX(F$132:F$141), 10, 0)</f>
        <v>0</v>
      </c>
      <c r="N134">
        <f>IF(Table2[[#This Row],[First Bloods]] = MAX(H$132:H$141), 10, 0)</f>
        <v>0</v>
      </c>
      <c r="O134">
        <f>IF(Table2[[#This Row],[Plants]] = MAX(I$132:I$141), 10, 0)</f>
        <v>10</v>
      </c>
      <c r="P134">
        <f>IF(Table2[[#This Row],[Defuses]] = MAX(J$132:J$141), 10, 0)</f>
        <v>0</v>
      </c>
    </row>
    <row r="135" spans="1:16" x14ac:dyDescent="0.2">
      <c r="A135" s="4" t="s">
        <v>93</v>
      </c>
      <c r="B135" t="s">
        <v>11</v>
      </c>
      <c r="C135">
        <v>236</v>
      </c>
      <c r="D135">
        <v>22</v>
      </c>
      <c r="E135">
        <v>17</v>
      </c>
      <c r="F135">
        <v>8</v>
      </c>
      <c r="G135">
        <v>52</v>
      </c>
      <c r="H135">
        <v>5</v>
      </c>
      <c r="I135">
        <v>0</v>
      </c>
      <c r="J135">
        <v>0</v>
      </c>
      <c r="K135">
        <v>0</v>
      </c>
      <c r="L135">
        <f>IF(Table2[[#This Row],[Death]] = MIN(E$132:E$141), 10, 0)</f>
        <v>0</v>
      </c>
      <c r="M135">
        <f>IF(Table2[[#This Row],[Assist]] = MAX(F$132:F$141), 10, 0)</f>
        <v>10</v>
      </c>
      <c r="N135">
        <f>IF(Table2[[#This Row],[First Bloods]] = MAX(H$132:H$141), 10, 0)</f>
        <v>10</v>
      </c>
      <c r="O135">
        <f>IF(Table2[[#This Row],[Plants]] = MAX(I$132:I$141), 10, 0)</f>
        <v>0</v>
      </c>
      <c r="P135">
        <f>IF(Table2[[#This Row],[Defuses]] = MAX(J$132:J$141), 10, 0)</f>
        <v>0</v>
      </c>
    </row>
    <row r="136" spans="1:16" x14ac:dyDescent="0.2">
      <c r="A136" s="4" t="s">
        <v>93</v>
      </c>
      <c r="B136" t="s">
        <v>21</v>
      </c>
      <c r="C136">
        <v>190</v>
      </c>
      <c r="D136">
        <v>16</v>
      </c>
      <c r="E136">
        <v>18</v>
      </c>
      <c r="F136">
        <v>2</v>
      </c>
      <c r="G136">
        <v>58</v>
      </c>
      <c r="H136">
        <v>5</v>
      </c>
      <c r="I136">
        <v>0</v>
      </c>
      <c r="J136">
        <v>0</v>
      </c>
      <c r="K136">
        <v>50</v>
      </c>
      <c r="L136">
        <f>IF(Table2[[#This Row],[Death]] = MIN(E$132:E$141), 10, 0)</f>
        <v>0</v>
      </c>
      <c r="M136">
        <f>IF(Table2[[#This Row],[Assist]] = MAX(F$132:F$141), 10, 0)</f>
        <v>0</v>
      </c>
      <c r="N136">
        <f>IF(Table2[[#This Row],[First Bloods]] = MAX(H$132:H$141), 10, 0)</f>
        <v>10</v>
      </c>
      <c r="O136">
        <f>IF(Table2[[#This Row],[Plants]] = MAX(I$132:I$141), 10, 0)</f>
        <v>0</v>
      </c>
      <c r="P136">
        <f>IF(Table2[[#This Row],[Defuses]] = MAX(J$132:J$141), 10, 0)</f>
        <v>0</v>
      </c>
    </row>
    <row r="137" spans="1:16" x14ac:dyDescent="0.2">
      <c r="A137" s="4" t="s">
        <v>93</v>
      </c>
      <c r="B137" t="s">
        <v>13</v>
      </c>
      <c r="C137">
        <v>152</v>
      </c>
      <c r="D137">
        <v>13</v>
      </c>
      <c r="E137">
        <v>14</v>
      </c>
      <c r="F137">
        <v>6</v>
      </c>
      <c r="G137">
        <v>67</v>
      </c>
      <c r="H137">
        <v>1</v>
      </c>
      <c r="I137">
        <v>1</v>
      </c>
      <c r="J137">
        <v>0</v>
      </c>
      <c r="K137">
        <v>50</v>
      </c>
      <c r="L137">
        <f>IF(Table2[[#This Row],[Death]] = MIN(E$132:E$141), 10, 0)</f>
        <v>10</v>
      </c>
      <c r="M137">
        <f>IF(Table2[[#This Row],[Assist]] = MAX(F$132:F$141), 10, 0)</f>
        <v>0</v>
      </c>
      <c r="N137">
        <f>IF(Table2[[#This Row],[First Bloods]] = MAX(H$132:H$141), 10, 0)</f>
        <v>0</v>
      </c>
      <c r="O137">
        <f>IF(Table2[[#This Row],[Plants]] = MAX(I$132:I$141), 10, 0)</f>
        <v>0</v>
      </c>
      <c r="P137">
        <f>IF(Table2[[#This Row],[Defuses]] = MAX(J$132:J$141), 10, 0)</f>
        <v>0</v>
      </c>
    </row>
    <row r="138" spans="1:16" x14ac:dyDescent="0.2">
      <c r="A138" s="4" t="s">
        <v>93</v>
      </c>
      <c r="B138" t="s">
        <v>16</v>
      </c>
      <c r="C138">
        <v>150</v>
      </c>
      <c r="D138">
        <v>12</v>
      </c>
      <c r="E138">
        <v>19</v>
      </c>
      <c r="F138">
        <v>5</v>
      </c>
      <c r="G138">
        <v>45</v>
      </c>
      <c r="H138">
        <v>3</v>
      </c>
      <c r="I138">
        <v>1</v>
      </c>
      <c r="J138">
        <v>0</v>
      </c>
      <c r="K138">
        <v>50</v>
      </c>
      <c r="L138">
        <f>IF(Table2[[#This Row],[Death]] = MIN(E$132:E$141), 10, 0)</f>
        <v>0</v>
      </c>
      <c r="M138">
        <f>IF(Table2[[#This Row],[Assist]] = MAX(F$132:F$141), 10, 0)</f>
        <v>0</v>
      </c>
      <c r="N138">
        <f>IF(Table2[[#This Row],[First Bloods]] = MAX(H$132:H$141), 10, 0)</f>
        <v>0</v>
      </c>
      <c r="O138">
        <f>IF(Table2[[#This Row],[Plants]] = MAX(I$132:I$141), 10, 0)</f>
        <v>0</v>
      </c>
      <c r="P138">
        <f>IF(Table2[[#This Row],[Defuses]] = MAX(J$132:J$141), 10, 0)</f>
        <v>0</v>
      </c>
    </row>
    <row r="139" spans="1:16" x14ac:dyDescent="0.2">
      <c r="A139" s="4" t="s">
        <v>93</v>
      </c>
      <c r="B139" t="s">
        <v>18</v>
      </c>
      <c r="C139">
        <v>144</v>
      </c>
      <c r="D139">
        <v>12</v>
      </c>
      <c r="E139">
        <v>16</v>
      </c>
      <c r="F139">
        <v>4</v>
      </c>
      <c r="G139">
        <v>37</v>
      </c>
      <c r="H139">
        <v>0</v>
      </c>
      <c r="I139">
        <v>6</v>
      </c>
      <c r="J139">
        <v>2</v>
      </c>
      <c r="K139">
        <v>0</v>
      </c>
      <c r="L139">
        <f>IF(Table2[[#This Row],[Death]] = MIN(E$132:E$141), 10, 0)</f>
        <v>0</v>
      </c>
      <c r="M139">
        <f>IF(Table2[[#This Row],[Assist]] = MAX(F$132:F$141), 10, 0)</f>
        <v>0</v>
      </c>
      <c r="N139">
        <f>IF(Table2[[#This Row],[First Bloods]] = MAX(H$132:H$141), 10, 0)</f>
        <v>0</v>
      </c>
      <c r="O139">
        <f>IF(Table2[[#This Row],[Plants]] = MAX(I$132:I$141), 10, 0)</f>
        <v>10</v>
      </c>
      <c r="P139">
        <f>IF(Table2[[#This Row],[Defuses]] = MAX(J$132:J$141), 10, 0)</f>
        <v>10</v>
      </c>
    </row>
    <row r="140" spans="1:16" x14ac:dyDescent="0.2">
      <c r="A140" s="4" t="s">
        <v>93</v>
      </c>
      <c r="B140" t="s">
        <v>62</v>
      </c>
      <c r="C140">
        <v>125</v>
      </c>
      <c r="D140">
        <v>11</v>
      </c>
      <c r="E140">
        <v>19</v>
      </c>
      <c r="F140">
        <v>3</v>
      </c>
      <c r="G140">
        <v>42</v>
      </c>
      <c r="H140">
        <v>3</v>
      </c>
      <c r="I140">
        <v>0</v>
      </c>
      <c r="J140">
        <v>0</v>
      </c>
      <c r="K140">
        <v>0</v>
      </c>
      <c r="L140">
        <f>IF(Table2[[#This Row],[Death]] = MIN(E$132:E$141), 10, 0)</f>
        <v>0</v>
      </c>
      <c r="M140">
        <f>IF(Table2[[#This Row],[Assist]] = MAX(F$132:F$141), 10, 0)</f>
        <v>0</v>
      </c>
      <c r="N140">
        <f>IF(Table2[[#This Row],[First Bloods]] = MAX(H$132:H$141), 10, 0)</f>
        <v>0</v>
      </c>
      <c r="O140">
        <f>IF(Table2[[#This Row],[Plants]] = MAX(I$132:I$141), 10, 0)</f>
        <v>0</v>
      </c>
      <c r="P140">
        <f>IF(Table2[[#This Row],[Defuses]] = MAX(J$132:J$141), 10, 0)</f>
        <v>0</v>
      </c>
    </row>
    <row r="141" spans="1:16" x14ac:dyDescent="0.2">
      <c r="A141" s="7" t="s">
        <v>93</v>
      </c>
      <c r="B141" s="2" t="s">
        <v>56</v>
      </c>
      <c r="C141" s="2">
        <v>72</v>
      </c>
      <c r="D141" s="2">
        <v>5</v>
      </c>
      <c r="E141" s="2">
        <v>16</v>
      </c>
      <c r="F141" s="2">
        <v>6</v>
      </c>
      <c r="G141" s="2">
        <v>24</v>
      </c>
      <c r="H141" s="2">
        <v>0</v>
      </c>
      <c r="I141" s="2">
        <v>0</v>
      </c>
      <c r="J141" s="2">
        <v>1</v>
      </c>
      <c r="K141" s="2">
        <v>0</v>
      </c>
      <c r="L141" s="2">
        <f>IF(Table2[[#This Row],[Death]] = MIN(E$132:E$141), 10, 0)</f>
        <v>0</v>
      </c>
      <c r="M141" s="2">
        <f>IF(Table2[[#This Row],[Assist]] = MAX(F$132:F$141), 10, 0)</f>
        <v>0</v>
      </c>
      <c r="N141" s="2">
        <f>IF(Table2[[#This Row],[First Bloods]] = MAX(H$132:H$141), 10, 0)</f>
        <v>0</v>
      </c>
      <c r="O141" s="2">
        <f>IF(Table2[[#This Row],[Plants]] = MAX(I$132:I$141), 10, 0)</f>
        <v>0</v>
      </c>
      <c r="P141" s="2">
        <f>IF(Table2[[#This Row],[Defuses]] = MAX(J$132:J$141), 10, 0)</f>
        <v>0</v>
      </c>
    </row>
    <row r="142" spans="1:16" x14ac:dyDescent="0.2">
      <c r="A142" s="4" t="s">
        <v>94</v>
      </c>
      <c r="B142" t="s">
        <v>21</v>
      </c>
      <c r="C142">
        <v>436</v>
      </c>
      <c r="D142">
        <v>28</v>
      </c>
      <c r="E142">
        <v>16</v>
      </c>
      <c r="F142">
        <v>4</v>
      </c>
      <c r="G142">
        <v>97</v>
      </c>
      <c r="H142">
        <v>6</v>
      </c>
      <c r="I142">
        <v>0</v>
      </c>
      <c r="J142">
        <v>1</v>
      </c>
      <c r="K142">
        <v>0</v>
      </c>
      <c r="L142">
        <f>IF(Table2[[#This Row],[Death]] = MIN(E$142:E$151), 10, 0)</f>
        <v>0</v>
      </c>
      <c r="M142">
        <f>IF(Table2[[#This Row],[Assist]] = MAX(F$142:F$151), 10, 0)</f>
        <v>0</v>
      </c>
      <c r="N142">
        <f>IF(Table2[[#This Row],[First Bloods]] = MAX(H$142:H$151), 10, 0)</f>
        <v>10</v>
      </c>
      <c r="O142">
        <f>IF(Table2[[#This Row],[Plants]] = MAX(I$142:I$151), 10, 0)</f>
        <v>0</v>
      </c>
      <c r="P142">
        <f>IF(Table2[[#This Row],[Defuses]] = MAX(J$142:J$151), 10, 0)</f>
        <v>10</v>
      </c>
    </row>
    <row r="143" spans="1:16" x14ac:dyDescent="0.2">
      <c r="A143" s="4" t="s">
        <v>94</v>
      </c>
      <c r="B143" t="s">
        <v>11</v>
      </c>
      <c r="C143">
        <v>302</v>
      </c>
      <c r="D143">
        <v>21</v>
      </c>
      <c r="E143">
        <v>13</v>
      </c>
      <c r="F143">
        <v>6</v>
      </c>
      <c r="G143">
        <v>74</v>
      </c>
      <c r="H143">
        <v>5</v>
      </c>
      <c r="I143">
        <v>0</v>
      </c>
      <c r="J143">
        <v>0</v>
      </c>
      <c r="K143">
        <v>50</v>
      </c>
      <c r="L143">
        <f>IF(Table2[[#This Row],[Death]] = MIN(E$142:E$151), 10, 0)</f>
        <v>10</v>
      </c>
      <c r="M143">
        <f>IF(Table2[[#This Row],[Assist]] = MAX(F$142:F$151), 10, 0)</f>
        <v>0</v>
      </c>
      <c r="N143">
        <f>IF(Table2[[#This Row],[First Bloods]] = MAX(H$142:H$151), 10, 0)</f>
        <v>0</v>
      </c>
      <c r="O143">
        <f>IF(Table2[[#This Row],[Plants]] = MAX(I$142:I$151), 10, 0)</f>
        <v>0</v>
      </c>
      <c r="P143">
        <f>IF(Table2[[#This Row],[Defuses]] = MAX(J$142:J$151), 10, 0)</f>
        <v>0</v>
      </c>
    </row>
    <row r="144" spans="1:16" x14ac:dyDescent="0.2">
      <c r="A144" s="4" t="s">
        <v>94</v>
      </c>
      <c r="B144" t="s">
        <v>37</v>
      </c>
      <c r="C144">
        <v>291</v>
      </c>
      <c r="D144">
        <v>19</v>
      </c>
      <c r="E144">
        <v>18</v>
      </c>
      <c r="F144">
        <v>9</v>
      </c>
      <c r="G144">
        <v>77</v>
      </c>
      <c r="H144">
        <v>1</v>
      </c>
      <c r="I144">
        <v>2</v>
      </c>
      <c r="J144">
        <v>0</v>
      </c>
      <c r="K144">
        <v>50</v>
      </c>
      <c r="L144">
        <f>IF(Table2[[#This Row],[Death]] = MIN(E$142:E$151), 10, 0)</f>
        <v>0</v>
      </c>
      <c r="M144">
        <f>IF(Table2[[#This Row],[Assist]] = MAX(F$142:F$151), 10, 0)</f>
        <v>10</v>
      </c>
      <c r="N144">
        <f>IF(Table2[[#This Row],[First Bloods]] = MAX(H$142:H$151), 10, 0)</f>
        <v>0</v>
      </c>
      <c r="O144">
        <f>IF(Table2[[#This Row],[Plants]] = MAX(I$142:I$151), 10, 0)</f>
        <v>0</v>
      </c>
      <c r="P144">
        <f>IF(Table2[[#This Row],[Defuses]] = MAX(J$142:J$151), 10, 0)</f>
        <v>0</v>
      </c>
    </row>
    <row r="145" spans="1:16" x14ac:dyDescent="0.2">
      <c r="A145" s="4" t="s">
        <v>94</v>
      </c>
      <c r="B145" t="s">
        <v>13</v>
      </c>
      <c r="C145">
        <v>217</v>
      </c>
      <c r="D145">
        <v>15</v>
      </c>
      <c r="E145">
        <v>13</v>
      </c>
      <c r="F145">
        <v>6</v>
      </c>
      <c r="G145">
        <v>90</v>
      </c>
      <c r="H145">
        <v>1</v>
      </c>
      <c r="I145">
        <v>1</v>
      </c>
      <c r="J145">
        <v>0</v>
      </c>
      <c r="K145">
        <v>0</v>
      </c>
      <c r="L145">
        <f>IF(Table2[[#This Row],[Death]] = MIN(E$142:E$151), 10, 0)</f>
        <v>10</v>
      </c>
      <c r="M145">
        <f>IF(Table2[[#This Row],[Assist]] = MAX(F$142:F$151), 10, 0)</f>
        <v>0</v>
      </c>
      <c r="N145">
        <f>IF(Table2[[#This Row],[First Bloods]] = MAX(H$142:H$151), 10, 0)</f>
        <v>0</v>
      </c>
      <c r="O145">
        <f>IF(Table2[[#This Row],[Plants]] = MAX(I$142:I$151), 10, 0)</f>
        <v>0</v>
      </c>
      <c r="P145">
        <f>IF(Table2[[#This Row],[Defuses]] = MAX(J$142:J$151), 10, 0)</f>
        <v>0</v>
      </c>
    </row>
    <row r="146" spans="1:16" x14ac:dyDescent="0.2">
      <c r="A146" s="4" t="s">
        <v>94</v>
      </c>
      <c r="B146" t="s">
        <v>61</v>
      </c>
      <c r="C146">
        <v>166</v>
      </c>
      <c r="D146">
        <v>12</v>
      </c>
      <c r="E146">
        <v>16</v>
      </c>
      <c r="F146">
        <v>5</v>
      </c>
      <c r="G146">
        <v>35</v>
      </c>
      <c r="H146">
        <v>3</v>
      </c>
      <c r="I146">
        <v>0</v>
      </c>
      <c r="J146">
        <v>0</v>
      </c>
      <c r="K146">
        <v>0</v>
      </c>
      <c r="L146">
        <f>IF(Table2[[#This Row],[Death]] = MIN(E$142:E$151), 10, 0)</f>
        <v>0</v>
      </c>
      <c r="M146">
        <f>IF(Table2[[#This Row],[Assist]] = MAX(F$142:F$151), 10, 0)</f>
        <v>0</v>
      </c>
      <c r="N146">
        <f>IF(Table2[[#This Row],[First Bloods]] = MAX(H$142:H$151), 10, 0)</f>
        <v>0</v>
      </c>
      <c r="O146">
        <f>IF(Table2[[#This Row],[Plants]] = MAX(I$142:I$151), 10, 0)</f>
        <v>0</v>
      </c>
      <c r="P146">
        <f>IF(Table2[[#This Row],[Defuses]] = MAX(J$142:J$151), 10, 0)</f>
        <v>0</v>
      </c>
    </row>
    <row r="147" spans="1:16" x14ac:dyDescent="0.2">
      <c r="A147" s="4" t="s">
        <v>94</v>
      </c>
      <c r="B147" t="s">
        <v>16</v>
      </c>
      <c r="C147">
        <v>165</v>
      </c>
      <c r="D147">
        <v>11</v>
      </c>
      <c r="E147">
        <v>13</v>
      </c>
      <c r="F147">
        <v>5</v>
      </c>
      <c r="G147">
        <v>53</v>
      </c>
      <c r="H147">
        <v>1</v>
      </c>
      <c r="I147">
        <v>0</v>
      </c>
      <c r="J147">
        <v>0</v>
      </c>
      <c r="K147">
        <v>0</v>
      </c>
      <c r="L147">
        <f>IF(Table2[[#This Row],[Death]] = MIN(E$142:E$151), 10, 0)</f>
        <v>10</v>
      </c>
      <c r="M147">
        <f>IF(Table2[[#This Row],[Assist]] = MAX(F$142:F$151), 10, 0)</f>
        <v>0</v>
      </c>
      <c r="N147">
        <f>IF(Table2[[#This Row],[First Bloods]] = MAX(H$142:H$151), 10, 0)</f>
        <v>0</v>
      </c>
      <c r="O147">
        <f>IF(Table2[[#This Row],[Plants]] = MAX(I$142:I$151), 10, 0)</f>
        <v>0</v>
      </c>
      <c r="P147">
        <f>IF(Table2[[#This Row],[Defuses]] = MAX(J$142:J$151), 10, 0)</f>
        <v>0</v>
      </c>
    </row>
    <row r="148" spans="1:16" x14ac:dyDescent="0.2">
      <c r="A148" s="4" t="s">
        <v>94</v>
      </c>
      <c r="B148" t="s">
        <v>56</v>
      </c>
      <c r="C148">
        <v>157</v>
      </c>
      <c r="D148">
        <v>12</v>
      </c>
      <c r="E148">
        <v>16</v>
      </c>
      <c r="F148">
        <v>5</v>
      </c>
      <c r="G148">
        <v>53</v>
      </c>
      <c r="H148">
        <v>1</v>
      </c>
      <c r="I148">
        <v>3</v>
      </c>
      <c r="J148">
        <v>0</v>
      </c>
      <c r="K148">
        <v>50</v>
      </c>
      <c r="L148">
        <f>IF(Table2[[#This Row],[Death]] = MIN(E$142:E$151), 10, 0)</f>
        <v>0</v>
      </c>
      <c r="M148">
        <f>IF(Table2[[#This Row],[Assist]] = MAX(F$142:F$151), 10, 0)</f>
        <v>0</v>
      </c>
      <c r="N148">
        <f>IF(Table2[[#This Row],[First Bloods]] = MAX(H$142:H$151), 10, 0)</f>
        <v>0</v>
      </c>
      <c r="O148">
        <f>IF(Table2[[#This Row],[Plants]] = MAX(I$142:I$151), 10, 0)</f>
        <v>10</v>
      </c>
      <c r="P148">
        <f>IF(Table2[[#This Row],[Defuses]] = MAX(J$142:J$151), 10, 0)</f>
        <v>0</v>
      </c>
    </row>
    <row r="149" spans="1:16" x14ac:dyDescent="0.2">
      <c r="A149" s="4" t="s">
        <v>94</v>
      </c>
      <c r="B149" t="s">
        <v>18</v>
      </c>
      <c r="C149">
        <v>149</v>
      </c>
      <c r="D149">
        <v>12</v>
      </c>
      <c r="E149">
        <v>14</v>
      </c>
      <c r="F149">
        <v>6</v>
      </c>
      <c r="G149">
        <v>31</v>
      </c>
      <c r="H149">
        <v>0</v>
      </c>
      <c r="I149">
        <v>2</v>
      </c>
      <c r="J149">
        <v>0</v>
      </c>
      <c r="K149">
        <v>50</v>
      </c>
      <c r="L149">
        <f>IF(Table2[[#This Row],[Death]] = MIN(E$142:E$151), 10, 0)</f>
        <v>0</v>
      </c>
      <c r="M149">
        <f>IF(Table2[[#This Row],[Assist]] = MAX(F$142:F$151), 10, 0)</f>
        <v>0</v>
      </c>
      <c r="N149">
        <f>IF(Table2[[#This Row],[First Bloods]] = MAX(H$142:H$151), 10, 0)</f>
        <v>0</v>
      </c>
      <c r="O149">
        <f>IF(Table2[[#This Row],[Plants]] = MAX(I$142:I$151), 10, 0)</f>
        <v>0</v>
      </c>
      <c r="P149">
        <f>IF(Table2[[#This Row],[Defuses]] = MAX(J$142:J$151), 10, 0)</f>
        <v>0</v>
      </c>
    </row>
    <row r="150" spans="1:16" x14ac:dyDescent="0.2">
      <c r="A150" s="4" t="s">
        <v>94</v>
      </c>
      <c r="B150" t="s">
        <v>62</v>
      </c>
      <c r="C150">
        <v>141</v>
      </c>
      <c r="D150">
        <v>9</v>
      </c>
      <c r="E150">
        <v>15</v>
      </c>
      <c r="F150">
        <v>4</v>
      </c>
      <c r="G150">
        <v>43</v>
      </c>
      <c r="H150">
        <v>2</v>
      </c>
      <c r="I150">
        <v>0</v>
      </c>
      <c r="J150">
        <v>0</v>
      </c>
      <c r="K150">
        <v>50</v>
      </c>
      <c r="L150">
        <f>IF(Table2[[#This Row],[Death]] = MIN(E$142:E$151), 10, 0)</f>
        <v>0</v>
      </c>
      <c r="M150">
        <f>IF(Table2[[#This Row],[Assist]] = MAX(F$142:F$151), 10, 0)</f>
        <v>0</v>
      </c>
      <c r="N150">
        <f>IF(Table2[[#This Row],[First Bloods]] = MAX(H$142:H$151), 10, 0)</f>
        <v>0</v>
      </c>
      <c r="O150">
        <f>IF(Table2[[#This Row],[Plants]] = MAX(I$142:I$151), 10, 0)</f>
        <v>0</v>
      </c>
      <c r="P150">
        <f>IF(Table2[[#This Row],[Defuses]] = MAX(J$142:J$151), 10, 0)</f>
        <v>0</v>
      </c>
    </row>
    <row r="151" spans="1:16" x14ac:dyDescent="0.2">
      <c r="A151" s="7" t="s">
        <v>94</v>
      </c>
      <c r="B151" s="2" t="s">
        <v>60</v>
      </c>
      <c r="C151" s="2">
        <v>90</v>
      </c>
      <c r="D151" s="2">
        <v>6</v>
      </c>
      <c r="E151" s="2">
        <v>15</v>
      </c>
      <c r="F151" s="2">
        <v>5</v>
      </c>
      <c r="G151" s="2">
        <v>34</v>
      </c>
      <c r="H151" s="2">
        <v>0</v>
      </c>
      <c r="I151" s="2">
        <v>0</v>
      </c>
      <c r="J151" s="2">
        <v>0</v>
      </c>
      <c r="K151" s="2">
        <v>0</v>
      </c>
      <c r="L151" s="2">
        <f>IF(Table2[[#This Row],[Death]] = MIN(E$142:E$151), 10, 0)</f>
        <v>0</v>
      </c>
      <c r="M151" s="2">
        <f>IF(Table2[[#This Row],[Assist]] = MAX(F$142:F$151), 10, 0)</f>
        <v>0</v>
      </c>
      <c r="N151" s="2">
        <f>IF(Table2[[#This Row],[First Bloods]] = MAX(H$142:H$151), 10, 0)</f>
        <v>0</v>
      </c>
      <c r="O151" s="2">
        <f>IF(Table2[[#This Row],[Plants]] = MAX(I$142:I$151), 10, 0)</f>
        <v>0</v>
      </c>
      <c r="P151" s="2">
        <f>IF(Table2[[#This Row],[Defuses]] = MAX(J$142:J$151), 10, 0)</f>
        <v>0</v>
      </c>
    </row>
    <row r="152" spans="1:16" x14ac:dyDescent="0.2">
      <c r="A152" s="4" t="s">
        <v>65</v>
      </c>
      <c r="B152" t="s">
        <v>37</v>
      </c>
      <c r="C152">
        <v>325</v>
      </c>
      <c r="D152">
        <v>22</v>
      </c>
      <c r="E152">
        <v>12</v>
      </c>
      <c r="F152">
        <v>7</v>
      </c>
      <c r="G152">
        <v>95</v>
      </c>
      <c r="H152">
        <v>2</v>
      </c>
      <c r="I152">
        <v>2</v>
      </c>
      <c r="J152">
        <v>0</v>
      </c>
      <c r="K152">
        <v>50</v>
      </c>
      <c r="L152">
        <f>IF(Table2[[#This Row],[Death]] = MIN(E$152:E$161), 10, 0)</f>
        <v>10</v>
      </c>
      <c r="M152">
        <f>IF(Table2[[#This Row],[Assist]] = MAX(F$152:F$161), 10, 0)</f>
        <v>0</v>
      </c>
      <c r="N152">
        <f>IF(Table2[[#This Row],[First Bloods]] = MAX(H$152:H$161), 10, 0)</f>
        <v>0</v>
      </c>
      <c r="O152">
        <f>IF(Table2[[#This Row],[Plants]] = MAX(I$152:I$161), 10, 0)</f>
        <v>0</v>
      </c>
      <c r="P152">
        <f>IF(Table2[[#This Row],[Defuses]] = MAX(J$152:J$161), 10, 0)</f>
        <v>0</v>
      </c>
    </row>
    <row r="153" spans="1:16" x14ac:dyDescent="0.2">
      <c r="A153" s="4" t="s">
        <v>65</v>
      </c>
      <c r="B153" t="s">
        <v>11</v>
      </c>
      <c r="C153">
        <v>322</v>
      </c>
      <c r="D153">
        <v>21</v>
      </c>
      <c r="E153">
        <v>17</v>
      </c>
      <c r="F153">
        <v>5</v>
      </c>
      <c r="G153">
        <v>74</v>
      </c>
      <c r="H153">
        <v>8</v>
      </c>
      <c r="I153">
        <v>0</v>
      </c>
      <c r="J153">
        <v>0</v>
      </c>
      <c r="K153">
        <v>0</v>
      </c>
      <c r="L153">
        <f>IF(Table2[[#This Row],[Death]] = MIN(E$152:E$161), 10, 0)</f>
        <v>0</v>
      </c>
      <c r="M153">
        <f>IF(Table2[[#This Row],[Assist]] = MAX(F$152:F$161), 10, 0)</f>
        <v>0</v>
      </c>
      <c r="N153">
        <f>IF(Table2[[#This Row],[First Bloods]] = MAX(H$152:H$161), 10, 0)</f>
        <v>10</v>
      </c>
      <c r="O153">
        <f>IF(Table2[[#This Row],[Plants]] = MAX(I$152:I$161), 10, 0)</f>
        <v>0</v>
      </c>
      <c r="P153">
        <f>IF(Table2[[#This Row],[Defuses]] = MAX(J$152:J$161), 10, 0)</f>
        <v>0</v>
      </c>
    </row>
    <row r="154" spans="1:16" x14ac:dyDescent="0.2">
      <c r="A154" s="4" t="s">
        <v>65</v>
      </c>
      <c r="B154" t="s">
        <v>74</v>
      </c>
      <c r="C154">
        <v>273</v>
      </c>
      <c r="D154">
        <v>20</v>
      </c>
      <c r="E154">
        <v>12</v>
      </c>
      <c r="F154">
        <v>5</v>
      </c>
      <c r="G154">
        <v>72</v>
      </c>
      <c r="H154">
        <v>0</v>
      </c>
      <c r="I154">
        <v>0</v>
      </c>
      <c r="J154">
        <v>1</v>
      </c>
      <c r="K154">
        <v>50</v>
      </c>
      <c r="L154">
        <f>IF(Table2[[#This Row],[Death]] = MIN(E$152:E$161), 10, 0)</f>
        <v>10</v>
      </c>
      <c r="M154">
        <f>IF(Table2[[#This Row],[Assist]] = MAX(F$152:F$161), 10, 0)</f>
        <v>0</v>
      </c>
      <c r="N154">
        <f>IF(Table2[[#This Row],[First Bloods]] = MAX(H$152:H$161), 10, 0)</f>
        <v>0</v>
      </c>
      <c r="O154">
        <f>IF(Table2[[#This Row],[Plants]] = MAX(I$152:I$161), 10, 0)</f>
        <v>0</v>
      </c>
      <c r="P154">
        <f>IF(Table2[[#This Row],[Defuses]] = MAX(J$152:J$161), 10, 0)</f>
        <v>10</v>
      </c>
    </row>
    <row r="155" spans="1:16" x14ac:dyDescent="0.2">
      <c r="A155" s="4" t="s">
        <v>65</v>
      </c>
      <c r="B155" t="s">
        <v>60</v>
      </c>
      <c r="C155">
        <v>251</v>
      </c>
      <c r="D155">
        <v>18</v>
      </c>
      <c r="E155">
        <v>16</v>
      </c>
      <c r="F155">
        <v>3</v>
      </c>
      <c r="G155">
        <v>69</v>
      </c>
      <c r="H155">
        <v>2</v>
      </c>
      <c r="I155">
        <v>0</v>
      </c>
      <c r="J155">
        <v>1</v>
      </c>
      <c r="K155">
        <v>50</v>
      </c>
      <c r="L155">
        <f>IF(Table2[[#This Row],[Death]] = MIN(E$152:E$161), 10, 0)</f>
        <v>0</v>
      </c>
      <c r="M155">
        <f>IF(Table2[[#This Row],[Assist]] = MAX(F$152:F$161), 10, 0)</f>
        <v>0</v>
      </c>
      <c r="N155">
        <f>IF(Table2[[#This Row],[First Bloods]] = MAX(H$152:H$161), 10, 0)</f>
        <v>0</v>
      </c>
      <c r="O155">
        <f>IF(Table2[[#This Row],[Plants]] = MAX(I$152:I$161), 10, 0)</f>
        <v>0</v>
      </c>
      <c r="P155">
        <f>IF(Table2[[#This Row],[Defuses]] = MAX(J$152:J$161), 10, 0)</f>
        <v>10</v>
      </c>
    </row>
    <row r="156" spans="1:16" x14ac:dyDescent="0.2">
      <c r="A156" s="4" t="s">
        <v>65</v>
      </c>
      <c r="B156" t="s">
        <v>75</v>
      </c>
      <c r="C156">
        <v>206</v>
      </c>
      <c r="D156">
        <v>13</v>
      </c>
      <c r="E156">
        <v>16</v>
      </c>
      <c r="F156">
        <v>7</v>
      </c>
      <c r="G156">
        <v>53</v>
      </c>
      <c r="H156">
        <v>2</v>
      </c>
      <c r="I156">
        <v>0</v>
      </c>
      <c r="J156">
        <v>0</v>
      </c>
      <c r="K156">
        <v>0</v>
      </c>
      <c r="L156">
        <f>IF(Table2[[#This Row],[Death]] = MIN(E$152:E$161), 10, 0)</f>
        <v>0</v>
      </c>
      <c r="M156">
        <f>IF(Table2[[#This Row],[Assist]] = MAX(F$152:F$161), 10, 0)</f>
        <v>0</v>
      </c>
      <c r="N156">
        <f>IF(Table2[[#This Row],[First Bloods]] = MAX(H$152:H$161), 10, 0)</f>
        <v>0</v>
      </c>
      <c r="O156">
        <f>IF(Table2[[#This Row],[Plants]] = MAX(I$152:I$161), 10, 0)</f>
        <v>0</v>
      </c>
      <c r="P156">
        <f>IF(Table2[[#This Row],[Defuses]] = MAX(J$152:J$161), 10, 0)</f>
        <v>0</v>
      </c>
    </row>
    <row r="157" spans="1:16" x14ac:dyDescent="0.2">
      <c r="A157" s="4" t="s">
        <v>65</v>
      </c>
      <c r="B157" t="s">
        <v>16</v>
      </c>
      <c r="C157">
        <v>175</v>
      </c>
      <c r="D157">
        <v>14</v>
      </c>
      <c r="E157">
        <v>16</v>
      </c>
      <c r="F157">
        <v>1</v>
      </c>
      <c r="G157">
        <v>67</v>
      </c>
      <c r="H157">
        <v>2</v>
      </c>
      <c r="I157">
        <v>1</v>
      </c>
      <c r="J157">
        <v>0</v>
      </c>
      <c r="K157">
        <v>0</v>
      </c>
      <c r="L157">
        <f>IF(Table2[[#This Row],[Death]] = MIN(E$152:E$161), 10, 0)</f>
        <v>0</v>
      </c>
      <c r="M157">
        <f>IF(Table2[[#This Row],[Assist]] = MAX(F$152:F$161), 10, 0)</f>
        <v>0</v>
      </c>
      <c r="N157">
        <f>IF(Table2[[#This Row],[First Bloods]] = MAX(H$152:H$161), 10, 0)</f>
        <v>0</v>
      </c>
      <c r="O157">
        <f>IF(Table2[[#This Row],[Plants]] = MAX(I$152:I$161), 10, 0)</f>
        <v>0</v>
      </c>
      <c r="P157">
        <f>IF(Table2[[#This Row],[Defuses]] = MAX(J$152:J$161), 10, 0)</f>
        <v>0</v>
      </c>
    </row>
    <row r="158" spans="1:16" x14ac:dyDescent="0.2">
      <c r="A158" s="4" t="s">
        <v>65</v>
      </c>
      <c r="B158" t="s">
        <v>76</v>
      </c>
      <c r="C158">
        <v>175</v>
      </c>
      <c r="D158">
        <v>13</v>
      </c>
      <c r="E158">
        <v>14</v>
      </c>
      <c r="F158">
        <v>4</v>
      </c>
      <c r="G158">
        <v>49</v>
      </c>
      <c r="H158">
        <v>1</v>
      </c>
      <c r="I158">
        <v>0</v>
      </c>
      <c r="J158">
        <v>0</v>
      </c>
      <c r="K158">
        <v>50</v>
      </c>
      <c r="L158">
        <f>IF(Table2[[#This Row],[Death]] = MIN(E$152:E$161), 10, 0)</f>
        <v>0</v>
      </c>
      <c r="M158">
        <f>IF(Table2[[#This Row],[Assist]] = MAX(F$152:F$161), 10, 0)</f>
        <v>0</v>
      </c>
      <c r="N158">
        <f>IF(Table2[[#This Row],[First Bloods]] = MAX(H$152:H$161), 10, 0)</f>
        <v>0</v>
      </c>
      <c r="O158">
        <f>IF(Table2[[#This Row],[Plants]] = MAX(I$152:I$161), 10, 0)</f>
        <v>0</v>
      </c>
      <c r="P158">
        <f>IF(Table2[[#This Row],[Defuses]] = MAX(J$152:J$161), 10, 0)</f>
        <v>0</v>
      </c>
    </row>
    <row r="159" spans="1:16" x14ac:dyDescent="0.2">
      <c r="A159" s="4" t="s">
        <v>65</v>
      </c>
      <c r="B159" t="s">
        <v>17</v>
      </c>
      <c r="C159">
        <v>163</v>
      </c>
      <c r="D159">
        <v>11</v>
      </c>
      <c r="E159">
        <v>16</v>
      </c>
      <c r="F159">
        <v>10</v>
      </c>
      <c r="G159">
        <v>45</v>
      </c>
      <c r="H159">
        <v>0</v>
      </c>
      <c r="I159">
        <v>4</v>
      </c>
      <c r="J159">
        <v>1</v>
      </c>
      <c r="K159">
        <v>0</v>
      </c>
      <c r="L159">
        <f>IF(Table2[[#This Row],[Death]] = MIN(E$152:E$161), 10, 0)</f>
        <v>0</v>
      </c>
      <c r="M159">
        <f>IF(Table2[[#This Row],[Assist]] = MAX(F$152:F$161), 10, 0)</f>
        <v>0</v>
      </c>
      <c r="N159">
        <f>IF(Table2[[#This Row],[First Bloods]] = MAX(H$152:H$161), 10, 0)</f>
        <v>0</v>
      </c>
      <c r="O159">
        <f>IF(Table2[[#This Row],[Plants]] = MAX(I$152:I$161), 10, 0)</f>
        <v>10</v>
      </c>
      <c r="P159">
        <f>IF(Table2[[#This Row],[Defuses]] = MAX(J$152:J$161), 10, 0)</f>
        <v>10</v>
      </c>
    </row>
    <row r="160" spans="1:16" x14ac:dyDescent="0.2">
      <c r="A160" s="4" t="s">
        <v>65</v>
      </c>
      <c r="B160" t="s">
        <v>56</v>
      </c>
      <c r="C160">
        <v>160</v>
      </c>
      <c r="D160">
        <v>11</v>
      </c>
      <c r="E160">
        <v>16</v>
      </c>
      <c r="F160">
        <v>4</v>
      </c>
      <c r="G160">
        <v>59</v>
      </c>
      <c r="H160">
        <v>1</v>
      </c>
      <c r="I160">
        <v>0</v>
      </c>
      <c r="J160">
        <v>0</v>
      </c>
      <c r="K160">
        <v>0</v>
      </c>
      <c r="L160">
        <f>IF(Table2[[#This Row],[Death]] = MIN(E$152:E$161), 10, 0)</f>
        <v>0</v>
      </c>
      <c r="M160">
        <f>IF(Table2[[#This Row],[Assist]] = MAX(F$152:F$161), 10, 0)</f>
        <v>0</v>
      </c>
      <c r="N160">
        <f>IF(Table2[[#This Row],[First Bloods]] = MAX(H$152:H$161), 10, 0)</f>
        <v>0</v>
      </c>
      <c r="O160">
        <f>IF(Table2[[#This Row],[Plants]] = MAX(I$152:I$161), 10, 0)</f>
        <v>0</v>
      </c>
      <c r="P160">
        <f>IF(Table2[[#This Row],[Defuses]] = MAX(J$152:J$161), 10, 0)</f>
        <v>0</v>
      </c>
    </row>
    <row r="161" spans="1:16" x14ac:dyDescent="0.2">
      <c r="A161" s="7" t="s">
        <v>65</v>
      </c>
      <c r="B161" s="2" t="s">
        <v>55</v>
      </c>
      <c r="C161" s="2">
        <v>133</v>
      </c>
      <c r="D161" s="2">
        <v>8</v>
      </c>
      <c r="E161" s="2">
        <v>16</v>
      </c>
      <c r="F161" s="2">
        <v>11</v>
      </c>
      <c r="G161" s="2">
        <v>36</v>
      </c>
      <c r="H161" s="2">
        <v>2</v>
      </c>
      <c r="I161" s="2">
        <v>3</v>
      </c>
      <c r="J161" s="2">
        <v>0</v>
      </c>
      <c r="K161" s="2">
        <v>50</v>
      </c>
      <c r="L161" s="2">
        <f>IF(Table2[[#This Row],[Death]] = MIN(E$152:E$161), 10, 0)</f>
        <v>0</v>
      </c>
      <c r="M161" s="2">
        <f>IF(Table2[[#This Row],[Assist]] = MAX(F$152:F$161), 10, 0)</f>
        <v>10</v>
      </c>
      <c r="N161" s="2">
        <f>IF(Table2[[#This Row],[First Bloods]] = MAX(H$152:H$161), 10, 0)</f>
        <v>0</v>
      </c>
      <c r="O161" s="2">
        <f>IF(Table2[[#This Row],[Plants]] = MAX(I$152:I$161), 10, 0)</f>
        <v>0</v>
      </c>
      <c r="P161" s="2">
        <f>IF(Table2[[#This Row],[Defuses]] = MAX(J$152:J$161), 10, 0)</f>
        <v>0</v>
      </c>
    </row>
    <row r="162" spans="1:16" x14ac:dyDescent="0.2">
      <c r="A162" s="4" t="s">
        <v>66</v>
      </c>
      <c r="B162" t="s">
        <v>11</v>
      </c>
      <c r="C162">
        <v>380</v>
      </c>
      <c r="D162">
        <v>25</v>
      </c>
      <c r="E162">
        <v>16</v>
      </c>
      <c r="F162">
        <v>2</v>
      </c>
      <c r="G162">
        <v>100</v>
      </c>
      <c r="H162">
        <v>6</v>
      </c>
      <c r="I162">
        <v>1</v>
      </c>
      <c r="J162">
        <v>0</v>
      </c>
      <c r="K162">
        <v>0</v>
      </c>
      <c r="L162" s="1">
        <f>IF(Table2[[#This Row],[Death]] = MIN(E$162:E$171), 10, 0)</f>
        <v>0</v>
      </c>
      <c r="M162">
        <f>IF(Table2[[#This Row],[Assist]] = MAX(F$162:F$171), 10, 0)</f>
        <v>0</v>
      </c>
      <c r="N162">
        <f>IF(Table2[[#This Row],[First Bloods]] = MAX(I$162:I$171), 10, 0)</f>
        <v>0</v>
      </c>
      <c r="O162">
        <f>IF(Table2[[#This Row],[Plants]] = MAX(J$162:J$171), 10, 0)</f>
        <v>0</v>
      </c>
      <c r="P162" s="1">
        <f>IF(Table2[[#This Row],[Defuses]] = MAX(J$162:J$171), 10, 0)</f>
        <v>0</v>
      </c>
    </row>
    <row r="163" spans="1:16" x14ac:dyDescent="0.2">
      <c r="A163" s="4" t="s">
        <v>66</v>
      </c>
      <c r="B163" t="s">
        <v>37</v>
      </c>
      <c r="C163">
        <v>324</v>
      </c>
      <c r="D163">
        <v>23</v>
      </c>
      <c r="E163">
        <v>12</v>
      </c>
      <c r="F163">
        <v>3</v>
      </c>
      <c r="G163">
        <v>71</v>
      </c>
      <c r="H163">
        <v>5</v>
      </c>
      <c r="I163">
        <v>0</v>
      </c>
      <c r="J163">
        <v>2</v>
      </c>
      <c r="K163">
        <v>50</v>
      </c>
      <c r="L163">
        <f>IF(Table2[[#This Row],[Death]] = MIN(E$162:E$171), 10, 0)</f>
        <v>0</v>
      </c>
      <c r="M163">
        <f>IF(Table2[[#This Row],[Assist]] = MAX(F$162:F$171), 10, 0)</f>
        <v>0</v>
      </c>
      <c r="N163">
        <f>IF(Table2[[#This Row],[First Bloods]] = MAX(I$162:I$171), 10, 0)</f>
        <v>10</v>
      </c>
      <c r="O163">
        <f>IF(Table2[[#This Row],[Plants]] = MAX(J$162:J$171), 10, 0)</f>
        <v>0</v>
      </c>
      <c r="P163">
        <f>IF(Table2[[#This Row],[Defuses]] = MAX(J$162:J$171), 10, 0)</f>
        <v>10</v>
      </c>
    </row>
    <row r="164" spans="1:16" x14ac:dyDescent="0.2">
      <c r="A164" s="4" t="s">
        <v>66</v>
      </c>
      <c r="B164" t="s">
        <v>74</v>
      </c>
      <c r="C164">
        <v>312</v>
      </c>
      <c r="D164">
        <v>20</v>
      </c>
      <c r="E164">
        <v>14</v>
      </c>
      <c r="F164">
        <v>6</v>
      </c>
      <c r="G164">
        <v>90</v>
      </c>
      <c r="H164">
        <v>1</v>
      </c>
      <c r="I164">
        <v>1</v>
      </c>
      <c r="J164">
        <v>0</v>
      </c>
      <c r="K164">
        <v>50</v>
      </c>
      <c r="L164">
        <f>IF(Table2[[#This Row],[Death]] = MIN(E$162:E$171), 10, 0)</f>
        <v>0</v>
      </c>
      <c r="M164">
        <f>IF(Table2[[#This Row],[Assist]] = MAX(F$162:F$171), 10, 0)</f>
        <v>0</v>
      </c>
      <c r="N164">
        <f>IF(Table2[[#This Row],[First Bloods]] = MAX(I$162:I$171), 10, 0)</f>
        <v>0</v>
      </c>
      <c r="O164">
        <f>IF(Table2[[#This Row],[Plants]] = MAX(J$162:J$171), 10, 0)</f>
        <v>0</v>
      </c>
      <c r="P164">
        <f>IF(Table2[[#This Row],[Defuses]] = MAX(J$162:J$171), 10, 0)</f>
        <v>0</v>
      </c>
    </row>
    <row r="165" spans="1:16" x14ac:dyDescent="0.2">
      <c r="A165" s="4" t="s">
        <v>66</v>
      </c>
      <c r="B165" t="s">
        <v>60</v>
      </c>
      <c r="C165">
        <v>238</v>
      </c>
      <c r="D165">
        <v>16</v>
      </c>
      <c r="E165">
        <v>10</v>
      </c>
      <c r="F165">
        <v>5</v>
      </c>
      <c r="G165">
        <v>81</v>
      </c>
      <c r="H165">
        <v>4</v>
      </c>
      <c r="I165">
        <v>2</v>
      </c>
      <c r="J165">
        <v>2</v>
      </c>
      <c r="K165">
        <v>50</v>
      </c>
      <c r="L165">
        <f>IF(Table2[[#This Row],[Death]] = MIN(E$162:E$171), 10, 0)</f>
        <v>10</v>
      </c>
      <c r="M165">
        <f>IF(Table2[[#This Row],[Assist]] = MAX(F$162:F$171), 10, 0)</f>
        <v>0</v>
      </c>
      <c r="N165">
        <f>IF(Table2[[#This Row],[First Bloods]] = MAX(I$162:I$171), 10, 0)</f>
        <v>0</v>
      </c>
      <c r="O165">
        <f>IF(Table2[[#This Row],[Plants]] = MAX(J$162:J$171), 10, 0)</f>
        <v>10</v>
      </c>
      <c r="P165">
        <f>IF(Table2[[#This Row],[Defuses]] = MAX(J$162:J$171), 10, 0)</f>
        <v>10</v>
      </c>
    </row>
    <row r="166" spans="1:16" x14ac:dyDescent="0.2">
      <c r="A166" s="4" t="s">
        <v>66</v>
      </c>
      <c r="B166" t="s">
        <v>76</v>
      </c>
      <c r="C166">
        <v>190</v>
      </c>
      <c r="D166">
        <v>12</v>
      </c>
      <c r="E166">
        <v>12</v>
      </c>
      <c r="F166">
        <v>4</v>
      </c>
      <c r="G166">
        <v>56</v>
      </c>
      <c r="H166">
        <v>1</v>
      </c>
      <c r="I166">
        <v>0</v>
      </c>
      <c r="J166">
        <v>0</v>
      </c>
      <c r="K166">
        <v>50</v>
      </c>
      <c r="L166">
        <f>IF(Table2[[#This Row],[Death]] = MIN(E$162:E$171), 10, 0)</f>
        <v>0</v>
      </c>
      <c r="M166">
        <f>IF(Table2[[#This Row],[Assist]] = MAX(F$162:F$171), 10, 0)</f>
        <v>0</v>
      </c>
      <c r="N166">
        <f>IF(Table2[[#This Row],[First Bloods]] = MAX(I$162:I$171), 10, 0)</f>
        <v>0</v>
      </c>
      <c r="O166">
        <f>IF(Table2[[#This Row],[Plants]] = MAX(J$162:J$171), 10, 0)</f>
        <v>0</v>
      </c>
      <c r="P166">
        <f>IF(Table2[[#This Row],[Defuses]] = MAX(J$162:J$171), 10, 0)</f>
        <v>0</v>
      </c>
    </row>
    <row r="167" spans="1:16" x14ac:dyDescent="0.2">
      <c r="A167" s="4" t="s">
        <v>66</v>
      </c>
      <c r="B167" t="s">
        <v>16</v>
      </c>
      <c r="C167">
        <v>174</v>
      </c>
      <c r="D167">
        <v>11</v>
      </c>
      <c r="E167">
        <v>16</v>
      </c>
      <c r="F167">
        <v>2</v>
      </c>
      <c r="G167">
        <v>46</v>
      </c>
      <c r="H167">
        <v>2</v>
      </c>
      <c r="I167">
        <v>0</v>
      </c>
      <c r="J167">
        <v>0</v>
      </c>
      <c r="K167">
        <v>0</v>
      </c>
      <c r="L167">
        <f>IF(Table2[[#This Row],[Death]] = MIN(E$162:E$171), 10, 0)</f>
        <v>0</v>
      </c>
      <c r="M167">
        <f>IF(Table2[[#This Row],[Assist]] = MAX(F$162:F$171), 10, 0)</f>
        <v>0</v>
      </c>
      <c r="N167">
        <f>IF(Table2[[#This Row],[First Bloods]] = MAX(I$162:I$171), 10, 0)</f>
        <v>0</v>
      </c>
      <c r="O167">
        <f>IF(Table2[[#This Row],[Plants]] = MAX(J$162:J$171), 10, 0)</f>
        <v>0</v>
      </c>
      <c r="P167">
        <f>IF(Table2[[#This Row],[Defuses]] = MAX(J$162:J$171), 10, 0)</f>
        <v>0</v>
      </c>
    </row>
    <row r="168" spans="1:16" x14ac:dyDescent="0.2">
      <c r="A168" s="4" t="s">
        <v>66</v>
      </c>
      <c r="B168" t="s">
        <v>75</v>
      </c>
      <c r="C168">
        <v>148</v>
      </c>
      <c r="D168">
        <v>9</v>
      </c>
      <c r="E168">
        <v>16</v>
      </c>
      <c r="F168">
        <v>10</v>
      </c>
      <c r="G168">
        <v>35</v>
      </c>
      <c r="H168">
        <v>0</v>
      </c>
      <c r="I168">
        <v>0</v>
      </c>
      <c r="J168">
        <v>1</v>
      </c>
      <c r="K168">
        <v>0</v>
      </c>
      <c r="L168">
        <f>IF(Table2[[#This Row],[Death]] = MIN(E$162:E$171), 10, 0)</f>
        <v>0</v>
      </c>
      <c r="M168">
        <f>IF(Table2[[#This Row],[Assist]] = MAX(F$162:F$171), 10, 0)</f>
        <v>10</v>
      </c>
      <c r="N168">
        <f>IF(Table2[[#This Row],[First Bloods]] = MAX(I$162:I$171), 10, 0)</f>
        <v>0</v>
      </c>
      <c r="O168">
        <f>IF(Table2[[#This Row],[Plants]] = MAX(J$162:J$171), 10, 0)</f>
        <v>0</v>
      </c>
      <c r="P168">
        <f>IF(Table2[[#This Row],[Defuses]] = MAX(J$162:J$171), 10, 0)</f>
        <v>0</v>
      </c>
    </row>
    <row r="169" spans="1:16" x14ac:dyDescent="0.2">
      <c r="A169" s="4" t="s">
        <v>66</v>
      </c>
      <c r="B169" t="s">
        <v>17</v>
      </c>
      <c r="C169">
        <v>130</v>
      </c>
      <c r="D169">
        <v>9</v>
      </c>
      <c r="E169">
        <v>16</v>
      </c>
      <c r="F169">
        <v>3</v>
      </c>
      <c r="G169">
        <v>37</v>
      </c>
      <c r="H169">
        <v>0</v>
      </c>
      <c r="I169">
        <v>1</v>
      </c>
      <c r="J169">
        <v>0</v>
      </c>
      <c r="K169">
        <v>0</v>
      </c>
      <c r="L169">
        <f>IF(Table2[[#This Row],[Death]] = MIN(E$162:E$171), 10, 0)</f>
        <v>0</v>
      </c>
      <c r="M169">
        <f>IF(Table2[[#This Row],[Assist]] = MAX(F$162:F$171), 10, 0)</f>
        <v>0</v>
      </c>
      <c r="N169">
        <f>IF(Table2[[#This Row],[First Bloods]] = MAX(I$162:I$171), 10, 0)</f>
        <v>0</v>
      </c>
      <c r="O169">
        <f>IF(Table2[[#This Row],[Plants]] = MAX(J$162:J$171), 10, 0)</f>
        <v>0</v>
      </c>
      <c r="P169">
        <f>IF(Table2[[#This Row],[Defuses]] = MAX(J$162:J$171), 10, 0)</f>
        <v>0</v>
      </c>
    </row>
    <row r="170" spans="1:16" x14ac:dyDescent="0.2">
      <c r="A170" s="4" t="s">
        <v>66</v>
      </c>
      <c r="B170" t="s">
        <v>55</v>
      </c>
      <c r="C170">
        <v>124</v>
      </c>
      <c r="D170">
        <v>9</v>
      </c>
      <c r="E170">
        <v>10</v>
      </c>
      <c r="F170">
        <v>3</v>
      </c>
      <c r="G170">
        <v>34</v>
      </c>
      <c r="H170">
        <v>0</v>
      </c>
      <c r="I170">
        <v>1</v>
      </c>
      <c r="J170">
        <v>1</v>
      </c>
      <c r="K170">
        <v>50</v>
      </c>
      <c r="L170">
        <f>IF(Table2[[#This Row],[Death]] = MIN(E$162:E$171), 10, 0)</f>
        <v>10</v>
      </c>
      <c r="M170">
        <f>IF(Table2[[#This Row],[Assist]] = MAX(F$162:F$171), 10, 0)</f>
        <v>0</v>
      </c>
      <c r="N170">
        <f>IF(Table2[[#This Row],[First Bloods]] = MAX(I$162:I$171), 10, 0)</f>
        <v>0</v>
      </c>
      <c r="O170">
        <f>IF(Table2[[#This Row],[Plants]] = MAX(J$162:J$171), 10, 0)</f>
        <v>0</v>
      </c>
      <c r="P170">
        <f>IF(Table2[[#This Row],[Defuses]] = MAX(J$162:J$171), 10, 0)</f>
        <v>0</v>
      </c>
    </row>
    <row r="171" spans="1:16" x14ac:dyDescent="0.2">
      <c r="A171" s="7" t="s">
        <v>66</v>
      </c>
      <c r="B171" s="2" t="s">
        <v>56</v>
      </c>
      <c r="C171" s="2">
        <v>70</v>
      </c>
      <c r="D171" s="2">
        <v>4</v>
      </c>
      <c r="E171" s="2">
        <v>16</v>
      </c>
      <c r="F171" s="2">
        <v>8</v>
      </c>
      <c r="G171" s="2">
        <v>19</v>
      </c>
      <c r="H171" s="2">
        <v>0</v>
      </c>
      <c r="I171" s="2">
        <v>5</v>
      </c>
      <c r="J171" s="2">
        <v>0</v>
      </c>
      <c r="K171" s="2">
        <v>0</v>
      </c>
      <c r="L171" s="2">
        <f>IF(Table2[[#This Row],[Death]] = MIN(E$162:E$171), 10, 0)</f>
        <v>0</v>
      </c>
      <c r="M171" s="2">
        <f>IF(Table2[[#This Row],[Assist]] = MAX(F$162:F$171), 10, 0)</f>
        <v>0</v>
      </c>
      <c r="N171" s="2">
        <f>IF(Table2[[#This Row],[First Bloods]] = MAX(I$162:I$171), 10, 0)</f>
        <v>0</v>
      </c>
      <c r="O171" s="2">
        <f>IF(Table2[[#This Row],[Plants]] = MAX(J$162:J$171), 10, 0)</f>
        <v>0</v>
      </c>
      <c r="P171" s="2">
        <f>IF(Table2[[#This Row],[Defuses]] = MAX(J$162:J$171), 10, 0)</f>
        <v>0</v>
      </c>
    </row>
    <row r="172" spans="1:16" x14ac:dyDescent="0.2">
      <c r="A172" s="4" t="s">
        <v>67</v>
      </c>
      <c r="B172" t="s">
        <v>74</v>
      </c>
      <c r="C172">
        <v>321</v>
      </c>
      <c r="D172">
        <v>26</v>
      </c>
      <c r="E172">
        <v>19</v>
      </c>
      <c r="F172">
        <v>6</v>
      </c>
      <c r="G172">
        <v>70</v>
      </c>
      <c r="H172">
        <v>5</v>
      </c>
      <c r="I172">
        <v>0</v>
      </c>
      <c r="J172">
        <v>0</v>
      </c>
      <c r="K172">
        <v>50</v>
      </c>
      <c r="L172" s="1">
        <f>IF(Table2[[#This Row],[Death]] = MIN(E$172:E$181), 10, 0)</f>
        <v>0</v>
      </c>
      <c r="M172">
        <f>IF(Table2[[#This Row],[Assist]] = MAX(F$172:F$181), 10, 0)</f>
        <v>10</v>
      </c>
      <c r="N172">
        <f>IF(Table2[[#This Row],[First Bloods]] = MAX(H$172:H$181), 10, 0)</f>
        <v>0</v>
      </c>
      <c r="O172">
        <f>IF(Table2[[#This Row],[Plants]] = MAX(I$172:I$181), 10, 0)</f>
        <v>0</v>
      </c>
      <c r="P172">
        <f>IF(Table2[[#This Row],[Defuses]] = MAX(J$172:J$181), 10, 0)</f>
        <v>0</v>
      </c>
    </row>
    <row r="173" spans="1:16" x14ac:dyDescent="0.2">
      <c r="A173" s="4" t="s">
        <v>67</v>
      </c>
      <c r="B173" t="s">
        <v>16</v>
      </c>
      <c r="C173">
        <v>317</v>
      </c>
      <c r="D173">
        <v>26</v>
      </c>
      <c r="E173">
        <v>19</v>
      </c>
      <c r="F173">
        <v>2</v>
      </c>
      <c r="G173">
        <v>84</v>
      </c>
      <c r="H173">
        <v>4</v>
      </c>
      <c r="I173">
        <v>2</v>
      </c>
      <c r="J173">
        <v>0</v>
      </c>
      <c r="K173">
        <v>0</v>
      </c>
      <c r="L173">
        <f>IF(Table2[[#This Row],[Death]] = MIN(E$172:E$181), 10, 0)</f>
        <v>0</v>
      </c>
      <c r="M173">
        <f>IF(Table2[[#This Row],[Assist]] = MAX(F$172:F$181), 10, 0)</f>
        <v>0</v>
      </c>
      <c r="N173">
        <f>IF(Table2[[#This Row],[First Bloods]] = MAX(H$172:H$181), 10, 0)</f>
        <v>0</v>
      </c>
      <c r="O173">
        <f>IF(Table2[[#This Row],[Plants]] = MAX(I$172:I$181), 10, 0)</f>
        <v>0</v>
      </c>
      <c r="P173">
        <f>IF(Table2[[#This Row],[Defuses]] = MAX(J$172:J$181), 10, 0)</f>
        <v>0</v>
      </c>
    </row>
    <row r="174" spans="1:16" x14ac:dyDescent="0.2">
      <c r="A174" s="4" t="s">
        <v>67</v>
      </c>
      <c r="B174" t="s">
        <v>11</v>
      </c>
      <c r="C174">
        <v>268</v>
      </c>
      <c r="D174">
        <v>23</v>
      </c>
      <c r="E174">
        <v>20</v>
      </c>
      <c r="F174">
        <v>2</v>
      </c>
      <c r="G174">
        <v>68</v>
      </c>
      <c r="H174">
        <v>2</v>
      </c>
      <c r="I174">
        <v>0</v>
      </c>
      <c r="J174">
        <v>1</v>
      </c>
      <c r="K174">
        <v>0</v>
      </c>
      <c r="L174">
        <f>IF(Table2[[#This Row],[Death]] = MIN(E$172:E$181), 10, 0)</f>
        <v>0</v>
      </c>
      <c r="M174">
        <f>IF(Table2[[#This Row],[Assist]] = MAX(F$172:F$181), 10, 0)</f>
        <v>0</v>
      </c>
      <c r="N174">
        <f>IF(Table2[[#This Row],[First Bloods]] = MAX(H$172:H$181), 10, 0)</f>
        <v>0</v>
      </c>
      <c r="O174">
        <f>IF(Table2[[#This Row],[Plants]] = MAX(I$172:I$181), 10, 0)</f>
        <v>0</v>
      </c>
      <c r="P174">
        <f>IF(Table2[[#This Row],[Defuses]] = MAX(J$172:J$181), 10, 0)</f>
        <v>10</v>
      </c>
    </row>
    <row r="175" spans="1:16" x14ac:dyDescent="0.2">
      <c r="A175" s="4" t="s">
        <v>67</v>
      </c>
      <c r="B175" t="s">
        <v>76</v>
      </c>
      <c r="C175">
        <v>252</v>
      </c>
      <c r="D175">
        <v>20</v>
      </c>
      <c r="E175">
        <v>18</v>
      </c>
      <c r="F175">
        <v>6</v>
      </c>
      <c r="G175">
        <v>56</v>
      </c>
      <c r="H175">
        <v>9</v>
      </c>
      <c r="I175">
        <v>0</v>
      </c>
      <c r="J175">
        <v>0</v>
      </c>
      <c r="K175">
        <v>50</v>
      </c>
      <c r="L175">
        <f>IF(Table2[[#This Row],[Death]] = MIN(E$172:E$181), 10, 0)</f>
        <v>0</v>
      </c>
      <c r="M175">
        <f>IF(Table2[[#This Row],[Assist]] = MAX(F$172:F$181), 10, 0)</f>
        <v>10</v>
      </c>
      <c r="N175">
        <f>IF(Table2[[#This Row],[First Bloods]] = MAX(H$172:H$181), 10, 0)</f>
        <v>10</v>
      </c>
      <c r="O175">
        <f>IF(Table2[[#This Row],[Plants]] = MAX(I$172:I$181), 10, 0)</f>
        <v>0</v>
      </c>
      <c r="P175">
        <f>IF(Table2[[#This Row],[Defuses]] = MAX(J$172:J$181), 10, 0)</f>
        <v>0</v>
      </c>
    </row>
    <row r="176" spans="1:16" x14ac:dyDescent="0.2">
      <c r="A176" s="4" t="s">
        <v>67</v>
      </c>
      <c r="B176" t="s">
        <v>37</v>
      </c>
      <c r="C176">
        <v>211</v>
      </c>
      <c r="D176">
        <v>21</v>
      </c>
      <c r="E176">
        <v>14</v>
      </c>
      <c r="F176">
        <v>1</v>
      </c>
      <c r="G176">
        <v>57</v>
      </c>
      <c r="H176">
        <v>2</v>
      </c>
      <c r="I176">
        <v>4</v>
      </c>
      <c r="J176">
        <v>1</v>
      </c>
      <c r="K176">
        <v>50</v>
      </c>
      <c r="L176">
        <f>IF(Table2[[#This Row],[Death]] = MIN(E$172:E$181), 10, 0)</f>
        <v>10</v>
      </c>
      <c r="M176">
        <f>IF(Table2[[#This Row],[Assist]] = MAX(F$172:F$181), 10, 0)</f>
        <v>0</v>
      </c>
      <c r="N176">
        <f>IF(Table2[[#This Row],[First Bloods]] = MAX(H$172:H$181), 10, 0)</f>
        <v>0</v>
      </c>
      <c r="O176">
        <f>IF(Table2[[#This Row],[Plants]] = MAX(I$172:I$181), 10, 0)</f>
        <v>10</v>
      </c>
      <c r="P176">
        <f>IF(Table2[[#This Row],[Defuses]] = MAX(J$172:J$181), 10, 0)</f>
        <v>10</v>
      </c>
    </row>
    <row r="177" spans="1:16" x14ac:dyDescent="0.2">
      <c r="A177" s="4" t="s">
        <v>67</v>
      </c>
      <c r="B177" t="s">
        <v>60</v>
      </c>
      <c r="C177">
        <v>190</v>
      </c>
      <c r="D177">
        <v>19</v>
      </c>
      <c r="E177">
        <v>16</v>
      </c>
      <c r="F177">
        <v>3</v>
      </c>
      <c r="G177">
        <v>50</v>
      </c>
      <c r="H177">
        <v>1</v>
      </c>
      <c r="I177">
        <v>1</v>
      </c>
      <c r="J177">
        <v>0</v>
      </c>
      <c r="K177">
        <v>50</v>
      </c>
      <c r="L177">
        <f>IF(Table2[[#This Row],[Death]] = MIN(E$172:E$181), 10, 0)</f>
        <v>0</v>
      </c>
      <c r="M177">
        <f>IF(Table2[[#This Row],[Assist]] = MAX(F$172:F$181), 10, 0)</f>
        <v>0</v>
      </c>
      <c r="N177">
        <f>IF(Table2[[#This Row],[First Bloods]] = MAX(H$172:H$181), 10, 0)</f>
        <v>0</v>
      </c>
      <c r="O177">
        <f>IF(Table2[[#This Row],[Plants]] = MAX(I$172:I$181), 10, 0)</f>
        <v>0</v>
      </c>
      <c r="P177">
        <f>IF(Table2[[#This Row],[Defuses]] = MAX(J$172:J$181), 10, 0)</f>
        <v>0</v>
      </c>
    </row>
    <row r="178" spans="1:16" x14ac:dyDescent="0.2">
      <c r="A178" s="4" t="s">
        <v>67</v>
      </c>
      <c r="B178" t="s">
        <v>17</v>
      </c>
      <c r="C178">
        <v>169</v>
      </c>
      <c r="D178">
        <v>12</v>
      </c>
      <c r="E178">
        <v>22</v>
      </c>
      <c r="F178">
        <v>6</v>
      </c>
      <c r="G178">
        <v>43</v>
      </c>
      <c r="H178">
        <v>0</v>
      </c>
      <c r="I178">
        <v>0</v>
      </c>
      <c r="J178">
        <v>0</v>
      </c>
      <c r="K178">
        <v>0</v>
      </c>
      <c r="L178">
        <f>IF(Table2[[#This Row],[Death]] = MIN(E$172:E$181), 10, 0)</f>
        <v>0</v>
      </c>
      <c r="M178">
        <f>IF(Table2[[#This Row],[Assist]] = MAX(F$172:F$181), 10, 0)</f>
        <v>10</v>
      </c>
      <c r="N178">
        <f>IF(Table2[[#This Row],[First Bloods]] = MAX(H$172:H$181), 10, 0)</f>
        <v>0</v>
      </c>
      <c r="O178">
        <f>IF(Table2[[#This Row],[Plants]] = MAX(I$172:I$181), 10, 0)</f>
        <v>0</v>
      </c>
      <c r="P178">
        <f>IF(Table2[[#This Row],[Defuses]] = MAX(J$172:J$181), 10, 0)</f>
        <v>0</v>
      </c>
    </row>
    <row r="179" spans="1:16" x14ac:dyDescent="0.2">
      <c r="A179" s="4" t="s">
        <v>67</v>
      </c>
      <c r="B179" t="s">
        <v>55</v>
      </c>
      <c r="C179">
        <v>161</v>
      </c>
      <c r="D179">
        <v>12</v>
      </c>
      <c r="E179">
        <v>16</v>
      </c>
      <c r="F179">
        <v>6</v>
      </c>
      <c r="G179">
        <v>50</v>
      </c>
      <c r="H179">
        <v>1</v>
      </c>
      <c r="I179">
        <v>0</v>
      </c>
      <c r="J179">
        <v>0</v>
      </c>
      <c r="K179">
        <v>50</v>
      </c>
      <c r="L179">
        <f>IF(Table2[[#This Row],[Death]] = MIN(E$172:E$181), 10, 0)</f>
        <v>0</v>
      </c>
      <c r="M179">
        <f>IF(Table2[[#This Row],[Assist]] = MAX(F$172:F$181), 10, 0)</f>
        <v>10</v>
      </c>
      <c r="N179">
        <f>IF(Table2[[#This Row],[First Bloods]] = MAX(H$172:H$181), 10, 0)</f>
        <v>0</v>
      </c>
      <c r="O179">
        <f>IF(Table2[[#This Row],[Plants]] = MAX(I$172:I$181), 10, 0)</f>
        <v>0</v>
      </c>
      <c r="P179">
        <f>IF(Table2[[#This Row],[Defuses]] = MAX(J$172:J$181), 10, 0)</f>
        <v>0</v>
      </c>
    </row>
    <row r="180" spans="1:16" x14ac:dyDescent="0.2">
      <c r="A180" s="4" t="s">
        <v>67</v>
      </c>
      <c r="B180" t="s">
        <v>75</v>
      </c>
      <c r="C180">
        <v>135</v>
      </c>
      <c r="D180">
        <v>13</v>
      </c>
      <c r="E180">
        <v>16</v>
      </c>
      <c r="F180">
        <v>3</v>
      </c>
      <c r="G180">
        <v>47</v>
      </c>
      <c r="H180">
        <v>0</v>
      </c>
      <c r="I180">
        <v>1</v>
      </c>
      <c r="J180">
        <v>0</v>
      </c>
      <c r="K180">
        <v>0</v>
      </c>
      <c r="L180">
        <f>IF(Table2[[#This Row],[Death]] = MIN(E$172:E$181), 10, 0)</f>
        <v>0</v>
      </c>
      <c r="M180">
        <f>IF(Table2[[#This Row],[Assist]] = MAX(F$172:F$181), 10, 0)</f>
        <v>0</v>
      </c>
      <c r="N180">
        <f>IF(Table2[[#This Row],[First Bloods]] = MAX(H$172:H$181), 10, 0)</f>
        <v>0</v>
      </c>
      <c r="O180">
        <f>IF(Table2[[#This Row],[Plants]] = MAX(I$172:I$181), 10, 0)</f>
        <v>0</v>
      </c>
      <c r="P180">
        <f>IF(Table2[[#This Row],[Defuses]] = MAX(J$172:J$181), 10, 0)</f>
        <v>0</v>
      </c>
    </row>
    <row r="181" spans="1:16" x14ac:dyDescent="0.2">
      <c r="A181" s="7" t="s">
        <v>67</v>
      </c>
      <c r="B181" s="2" t="s">
        <v>56</v>
      </c>
      <c r="C181" s="2">
        <v>115</v>
      </c>
      <c r="D181" s="2">
        <v>9</v>
      </c>
      <c r="E181" s="2">
        <v>21</v>
      </c>
      <c r="F181" s="2">
        <v>5</v>
      </c>
      <c r="G181" s="2">
        <v>31</v>
      </c>
      <c r="H181" s="2">
        <v>0</v>
      </c>
      <c r="I181" s="2">
        <v>2</v>
      </c>
      <c r="J181" s="2">
        <v>0</v>
      </c>
      <c r="K181" s="2">
        <v>0</v>
      </c>
      <c r="L181" s="2">
        <f>IF(Table2[[#This Row],[Death]] = MIN(E$172:E$181), 10, 0)</f>
        <v>0</v>
      </c>
      <c r="M181" s="2">
        <f>IF(Table2[[#This Row],[Assist]] = MAX(F$172:F$181), 10, 0)</f>
        <v>0</v>
      </c>
      <c r="N181" s="2">
        <f>IF(Table2[[#This Row],[First Bloods]] = MAX(H$172:H$181), 10, 0)</f>
        <v>0</v>
      </c>
      <c r="O181" s="2">
        <f>IF(Table2[[#This Row],[Plants]] = MAX(I$172:I$181), 10, 0)</f>
        <v>0</v>
      </c>
      <c r="P181" s="2">
        <f>IF(Table2[[#This Row],[Defuses]] = MAX(J$172:J$181), 10, 0)</f>
        <v>0</v>
      </c>
    </row>
    <row r="182" spans="1:16" x14ac:dyDescent="0.2">
      <c r="A182" s="4" t="s">
        <v>68</v>
      </c>
      <c r="B182" t="s">
        <v>97</v>
      </c>
      <c r="C182">
        <v>367</v>
      </c>
      <c r="D182">
        <v>29</v>
      </c>
      <c r="E182">
        <v>16</v>
      </c>
      <c r="F182">
        <v>4</v>
      </c>
      <c r="G182">
        <v>93</v>
      </c>
      <c r="H182">
        <v>6</v>
      </c>
      <c r="I182">
        <v>0</v>
      </c>
      <c r="J182">
        <v>0</v>
      </c>
      <c r="K182">
        <v>50</v>
      </c>
      <c r="L182" s="1">
        <f>IF(Table2[[#This Row],[Death]] = MIN(E$182:E$191), 10, 0)</f>
        <v>0</v>
      </c>
      <c r="M182">
        <f>IF(Table2[[#This Row],[Assist]] = MAX(F$182:F$191), 10, 0)</f>
        <v>0</v>
      </c>
      <c r="N182">
        <f>IF(Table2[[#This Row],[First Bloods]] = MAX(H$182:H$191), 10, 0)</f>
        <v>10</v>
      </c>
      <c r="O182">
        <f>IF(Table2[[#This Row],[Plants]] = MAX(I$182:I$191), 10, 0)</f>
        <v>0</v>
      </c>
      <c r="P182">
        <f>IF(Table2[[#This Row],[Defuses]] = MAX(J$182:J$191), 10, 0)</f>
        <v>0</v>
      </c>
    </row>
    <row r="183" spans="1:16" x14ac:dyDescent="0.2">
      <c r="A183" s="4" t="s">
        <v>68</v>
      </c>
      <c r="B183" t="s">
        <v>95</v>
      </c>
      <c r="C183">
        <v>292</v>
      </c>
      <c r="D183">
        <v>23</v>
      </c>
      <c r="E183">
        <v>17</v>
      </c>
      <c r="F183">
        <v>10</v>
      </c>
      <c r="G183">
        <v>68</v>
      </c>
      <c r="H183">
        <v>4</v>
      </c>
      <c r="I183">
        <v>3</v>
      </c>
      <c r="J183">
        <v>0</v>
      </c>
      <c r="K183">
        <v>50</v>
      </c>
      <c r="L183">
        <f>IF(Table2[[#This Row],[Death]] = MIN(E$182:E$191), 10, 0)</f>
        <v>0</v>
      </c>
      <c r="M183">
        <f>IF(Table2[[#This Row],[Assist]] = MAX(F$182:F$191), 10, 0)</f>
        <v>10</v>
      </c>
      <c r="N183">
        <f>IF(Table2[[#This Row],[First Bloods]] = MAX(H$182:H$191), 10, 0)</f>
        <v>0</v>
      </c>
      <c r="O183">
        <f>IF(Table2[[#This Row],[Plants]] = MAX(I$182:I$191), 10, 0)</f>
        <v>0</v>
      </c>
      <c r="P183">
        <f>IF(Table2[[#This Row],[Defuses]] = MAX(J$182:J$191), 10, 0)</f>
        <v>0</v>
      </c>
    </row>
    <row r="184" spans="1:16" x14ac:dyDescent="0.2">
      <c r="A184" s="4" t="s">
        <v>68</v>
      </c>
      <c r="B184" t="s">
        <v>21</v>
      </c>
      <c r="C184">
        <v>291</v>
      </c>
      <c r="D184">
        <v>24</v>
      </c>
      <c r="E184">
        <v>17</v>
      </c>
      <c r="F184">
        <v>3</v>
      </c>
      <c r="G184">
        <v>67</v>
      </c>
      <c r="H184">
        <v>2</v>
      </c>
      <c r="I184">
        <v>1</v>
      </c>
      <c r="J184">
        <v>0</v>
      </c>
      <c r="K184">
        <v>0</v>
      </c>
      <c r="L184">
        <f>IF(Table2[[#This Row],[Death]] = MIN(E$182:E$191), 10, 0)</f>
        <v>0</v>
      </c>
      <c r="M184">
        <f>IF(Table2[[#This Row],[Assist]] = MAX(F$182:F$191), 10, 0)</f>
        <v>0</v>
      </c>
      <c r="N184">
        <f>IF(Table2[[#This Row],[First Bloods]] = MAX(H$182:H$191), 10, 0)</f>
        <v>0</v>
      </c>
      <c r="O184">
        <f>IF(Table2[[#This Row],[Plants]] = MAX(I$182:I$191), 10, 0)</f>
        <v>0</v>
      </c>
      <c r="P184">
        <f>IF(Table2[[#This Row],[Defuses]] = MAX(J$182:J$191), 10, 0)</f>
        <v>0</v>
      </c>
    </row>
    <row r="185" spans="1:16" x14ac:dyDescent="0.2">
      <c r="A185" s="4" t="s">
        <v>68</v>
      </c>
      <c r="B185" t="s">
        <v>98</v>
      </c>
      <c r="C185">
        <v>231</v>
      </c>
      <c r="D185">
        <v>17</v>
      </c>
      <c r="E185">
        <v>18</v>
      </c>
      <c r="F185">
        <v>8</v>
      </c>
      <c r="G185">
        <v>60</v>
      </c>
      <c r="H185">
        <v>1</v>
      </c>
      <c r="I185">
        <v>0</v>
      </c>
      <c r="J185">
        <v>1</v>
      </c>
      <c r="K185">
        <v>0</v>
      </c>
      <c r="L185">
        <f>IF(Table2[[#This Row],[Death]] = MIN(E$182:E$191), 10, 0)</f>
        <v>0</v>
      </c>
      <c r="M185">
        <f>IF(Table2[[#This Row],[Assist]] = MAX(F$182:F$191), 10, 0)</f>
        <v>0</v>
      </c>
      <c r="N185">
        <f>IF(Table2[[#This Row],[First Bloods]] = MAX(H$182:H$191), 10, 0)</f>
        <v>0</v>
      </c>
      <c r="O185">
        <f>IF(Table2[[#This Row],[Plants]] = MAX(I$182:I$191), 10, 0)</f>
        <v>0</v>
      </c>
      <c r="P185">
        <f>IF(Table2[[#This Row],[Defuses]] = MAX(J$182:J$191), 10, 0)</f>
        <v>0</v>
      </c>
    </row>
    <row r="186" spans="1:16" x14ac:dyDescent="0.2">
      <c r="A186" s="4" t="s">
        <v>68</v>
      </c>
      <c r="B186" t="s">
        <v>96</v>
      </c>
      <c r="C186">
        <v>217</v>
      </c>
      <c r="D186">
        <v>16</v>
      </c>
      <c r="E186">
        <v>16</v>
      </c>
      <c r="F186">
        <v>3</v>
      </c>
      <c r="G186">
        <v>54</v>
      </c>
      <c r="H186">
        <v>4</v>
      </c>
      <c r="I186">
        <v>1</v>
      </c>
      <c r="J186">
        <v>1</v>
      </c>
      <c r="K186">
        <v>0</v>
      </c>
      <c r="L186">
        <f>IF(Table2[[#This Row],[Death]] = MIN(E$182:E$191), 10, 0)</f>
        <v>0</v>
      </c>
      <c r="M186">
        <f>IF(Table2[[#This Row],[Assist]] = MAX(F$182:F$191), 10, 0)</f>
        <v>0</v>
      </c>
      <c r="N186">
        <f>IF(Table2[[#This Row],[First Bloods]] = MAX(H$182:H$191), 10, 0)</f>
        <v>0</v>
      </c>
      <c r="O186">
        <f>IF(Table2[[#This Row],[Plants]] = MAX(I$182:I$191), 10, 0)</f>
        <v>0</v>
      </c>
      <c r="P186">
        <f>IF(Table2[[#This Row],[Defuses]] = MAX(J$182:J$191), 10, 0)</f>
        <v>0</v>
      </c>
    </row>
    <row r="187" spans="1:16" x14ac:dyDescent="0.2">
      <c r="A187" s="4" t="s">
        <v>68</v>
      </c>
      <c r="B187" t="s">
        <v>16</v>
      </c>
      <c r="C187">
        <v>192</v>
      </c>
      <c r="D187">
        <v>15</v>
      </c>
      <c r="E187">
        <v>15</v>
      </c>
      <c r="F187">
        <v>6</v>
      </c>
      <c r="G187">
        <v>37</v>
      </c>
      <c r="H187">
        <v>1</v>
      </c>
      <c r="I187">
        <v>2</v>
      </c>
      <c r="J187">
        <v>0</v>
      </c>
      <c r="K187">
        <v>50</v>
      </c>
      <c r="L187">
        <f>IF(Table2[[#This Row],[Death]] = MIN(E$182:E$191), 10, 0)</f>
        <v>0</v>
      </c>
      <c r="M187">
        <f>IF(Table2[[#This Row],[Assist]] = MAX(F$182:F$191), 10, 0)</f>
        <v>0</v>
      </c>
      <c r="N187">
        <f>IF(Table2[[#This Row],[First Bloods]] = MAX(H$182:H$191), 10, 0)</f>
        <v>0</v>
      </c>
      <c r="O187">
        <f>IF(Table2[[#This Row],[Plants]] = MAX(I$182:I$191), 10, 0)</f>
        <v>0</v>
      </c>
      <c r="P187">
        <f>IF(Table2[[#This Row],[Defuses]] = MAX(J$182:J$191), 10, 0)</f>
        <v>0</v>
      </c>
    </row>
    <row r="188" spans="1:16" x14ac:dyDescent="0.2">
      <c r="A188" s="4" t="s">
        <v>68</v>
      </c>
      <c r="B188" t="s">
        <v>13</v>
      </c>
      <c r="C188">
        <v>159</v>
      </c>
      <c r="D188">
        <v>12</v>
      </c>
      <c r="E188">
        <v>17</v>
      </c>
      <c r="F188">
        <v>7</v>
      </c>
      <c r="G188">
        <v>42</v>
      </c>
      <c r="H188">
        <v>0</v>
      </c>
      <c r="I188">
        <v>3</v>
      </c>
      <c r="J188">
        <v>1</v>
      </c>
      <c r="K188">
        <v>0</v>
      </c>
      <c r="L188">
        <f>IF(Table2[[#This Row],[Death]] = MIN(E$182:E$191), 10, 0)</f>
        <v>0</v>
      </c>
      <c r="M188">
        <f>IF(Table2[[#This Row],[Assist]] = MAX(F$182:F$191), 10, 0)</f>
        <v>0</v>
      </c>
      <c r="N188">
        <f>IF(Table2[[#This Row],[First Bloods]] = MAX(H$182:H$191), 10, 0)</f>
        <v>0</v>
      </c>
      <c r="O188">
        <f>IF(Table2[[#This Row],[Plants]] = MAX(I$182:I$191), 10, 0)</f>
        <v>0</v>
      </c>
      <c r="P188">
        <f>IF(Table2[[#This Row],[Defuses]] = MAX(J$182:J$191), 10, 0)</f>
        <v>0</v>
      </c>
    </row>
    <row r="189" spans="1:16" x14ac:dyDescent="0.2">
      <c r="A189" s="4" t="s">
        <v>68</v>
      </c>
      <c r="B189" t="s">
        <v>56</v>
      </c>
      <c r="C189">
        <v>155</v>
      </c>
      <c r="D189">
        <v>11</v>
      </c>
      <c r="E189">
        <v>15</v>
      </c>
      <c r="F189">
        <v>7</v>
      </c>
      <c r="G189">
        <v>46</v>
      </c>
      <c r="H189">
        <v>2</v>
      </c>
      <c r="I189">
        <v>4</v>
      </c>
      <c r="J189">
        <v>1</v>
      </c>
      <c r="K189">
        <v>50</v>
      </c>
      <c r="L189">
        <f>IF(Table2[[#This Row],[Death]] = MIN(E$182:E$191), 10, 0)</f>
        <v>0</v>
      </c>
      <c r="M189">
        <f>IF(Table2[[#This Row],[Assist]] = MAX(F$182:F$191), 10, 0)</f>
        <v>0</v>
      </c>
      <c r="N189">
        <f>IF(Table2[[#This Row],[First Bloods]] = MAX(H$182:H$191), 10, 0)</f>
        <v>0</v>
      </c>
      <c r="O189">
        <f>IF(Table2[[#This Row],[Plants]] = MAX(I$182:I$191), 10, 0)</f>
        <v>10</v>
      </c>
      <c r="P189">
        <f>IF(Table2[[#This Row],[Defuses]] = MAX(J$182:J$191), 10, 0)</f>
        <v>0</v>
      </c>
    </row>
    <row r="190" spans="1:16" x14ac:dyDescent="0.2">
      <c r="A190" s="4" t="s">
        <v>68</v>
      </c>
      <c r="B190" t="s">
        <v>75</v>
      </c>
      <c r="C190">
        <v>136</v>
      </c>
      <c r="D190">
        <v>10</v>
      </c>
      <c r="E190">
        <v>12</v>
      </c>
      <c r="F190">
        <v>5</v>
      </c>
      <c r="G190">
        <v>41</v>
      </c>
      <c r="H190">
        <v>0</v>
      </c>
      <c r="I190">
        <v>1</v>
      </c>
      <c r="J190">
        <v>2</v>
      </c>
      <c r="K190">
        <v>50</v>
      </c>
      <c r="L190">
        <f>IF(Table2[[#This Row],[Death]] = MIN(E$182:E$191), 10, 0)</f>
        <v>10</v>
      </c>
      <c r="M190">
        <f>IF(Table2[[#This Row],[Assist]] = MAX(F$182:F$191), 10, 0)</f>
        <v>0</v>
      </c>
      <c r="N190">
        <f>IF(Table2[[#This Row],[First Bloods]] = MAX(H$182:H$191), 10, 0)</f>
        <v>0</v>
      </c>
      <c r="O190">
        <f>IF(Table2[[#This Row],[Plants]] = MAX(I$182:I$191), 10, 0)</f>
        <v>0</v>
      </c>
      <c r="P190">
        <f>IF(Table2[[#This Row],[Defuses]] = MAX(J$182:J$191), 10, 0)</f>
        <v>10</v>
      </c>
    </row>
    <row r="191" spans="1:16" x14ac:dyDescent="0.2">
      <c r="A191" s="7" t="s">
        <v>68</v>
      </c>
      <c r="B191" s="2" t="s">
        <v>19</v>
      </c>
      <c r="C191" s="2">
        <v>90</v>
      </c>
      <c r="D191" s="2">
        <v>6</v>
      </c>
      <c r="E191" s="2">
        <v>20</v>
      </c>
      <c r="F191" s="2">
        <v>3</v>
      </c>
      <c r="G191" s="2">
        <v>23</v>
      </c>
      <c r="H191" s="2">
        <v>2</v>
      </c>
      <c r="I191" s="2">
        <v>2</v>
      </c>
      <c r="J191" s="2">
        <v>0</v>
      </c>
      <c r="K191" s="2">
        <v>0</v>
      </c>
      <c r="L191" s="2">
        <f>IF(Table2[[#This Row],[Death]] = MIN(E$182:E$191), 10, 0)</f>
        <v>0</v>
      </c>
      <c r="M191" s="2">
        <f>IF(Table2[[#This Row],[Assist]] = MAX(F$182:F$191), 10, 0)</f>
        <v>0</v>
      </c>
      <c r="N191" s="2">
        <f>IF(Table2[[#This Row],[First Bloods]] = MAX(H$182:H$191), 10, 0)</f>
        <v>0</v>
      </c>
      <c r="O191" s="2">
        <f>IF(Table2[[#This Row],[Plants]] = MAX(I$182:I$191), 10, 0)</f>
        <v>0</v>
      </c>
      <c r="P191" s="2">
        <f>IF(Table2[[#This Row],[Defuses]] = MAX(J$182:J$191), 10, 0)</f>
        <v>0</v>
      </c>
    </row>
    <row r="192" spans="1:16" x14ac:dyDescent="0.2">
      <c r="A192" s="4" t="s">
        <v>69</v>
      </c>
      <c r="B192" t="s">
        <v>95</v>
      </c>
      <c r="C192">
        <v>423</v>
      </c>
      <c r="D192">
        <v>30</v>
      </c>
      <c r="E192">
        <v>14</v>
      </c>
      <c r="F192">
        <v>2</v>
      </c>
      <c r="G192">
        <v>99</v>
      </c>
      <c r="H192">
        <v>7</v>
      </c>
      <c r="I192">
        <v>0</v>
      </c>
      <c r="J192">
        <v>0</v>
      </c>
      <c r="K192">
        <v>50</v>
      </c>
      <c r="L192" s="1">
        <f>IF(Table2[[#This Row],[Death]] = MIN(E$192:E$201), 10, 0)</f>
        <v>0</v>
      </c>
      <c r="M192">
        <f>IF(Table2[[#This Row],[Assist]] = MAX(F$192:F$201), 10, 0)</f>
        <v>0</v>
      </c>
      <c r="N192">
        <f>IF(Table2[[#This Row],[First Bloods]] = MAX(H$192:H$201), 10, 0)</f>
        <v>10</v>
      </c>
      <c r="O192">
        <f>IF(Table2[[#This Row],[Plants]] = MAX(I$192:I$201), 10, 0)</f>
        <v>0</v>
      </c>
      <c r="P192">
        <f>IF(Table2[[#This Row],[Defuses]] = MAX(J$192:J$201), 10, 0)</f>
        <v>0</v>
      </c>
    </row>
    <row r="193" spans="1:16" x14ac:dyDescent="0.2">
      <c r="A193" s="4" t="s">
        <v>69</v>
      </c>
      <c r="B193" t="s">
        <v>21</v>
      </c>
      <c r="C193">
        <v>298</v>
      </c>
      <c r="D193">
        <v>20</v>
      </c>
      <c r="E193">
        <v>15</v>
      </c>
      <c r="F193">
        <v>1</v>
      </c>
      <c r="G193">
        <v>77</v>
      </c>
      <c r="H193">
        <v>3</v>
      </c>
      <c r="I193">
        <v>0</v>
      </c>
      <c r="J193">
        <v>1</v>
      </c>
      <c r="K193">
        <v>0</v>
      </c>
      <c r="L193">
        <f>IF(Table2[[#This Row],[Death]] = MIN(E$192:E$201), 10, 0)</f>
        <v>0</v>
      </c>
      <c r="M193">
        <f>IF(Table2[[#This Row],[Assist]] = MAX(F$192:F$201), 10, 0)</f>
        <v>0</v>
      </c>
      <c r="N193">
        <f>IF(Table2[[#This Row],[First Bloods]] = MAX(H$192:H$201), 10, 0)</f>
        <v>0</v>
      </c>
      <c r="O193">
        <f>IF(Table2[[#This Row],[Plants]] = MAX(I$192:I$201), 10, 0)</f>
        <v>0</v>
      </c>
      <c r="P193">
        <f>IF(Table2[[#This Row],[Defuses]] = MAX(J$192:J$201), 10, 0)</f>
        <v>10</v>
      </c>
    </row>
    <row r="194" spans="1:16" x14ac:dyDescent="0.2">
      <c r="A194" s="4" t="s">
        <v>69</v>
      </c>
      <c r="B194" t="s">
        <v>97</v>
      </c>
      <c r="C194">
        <v>203</v>
      </c>
      <c r="D194">
        <v>14</v>
      </c>
      <c r="E194">
        <v>11</v>
      </c>
      <c r="F194">
        <v>7</v>
      </c>
      <c r="G194">
        <v>60</v>
      </c>
      <c r="H194">
        <v>0</v>
      </c>
      <c r="I194">
        <v>7</v>
      </c>
      <c r="J194">
        <v>0</v>
      </c>
      <c r="K194">
        <v>50</v>
      </c>
      <c r="L194">
        <f>IF(Table2[[#This Row],[Death]] = MIN(E$192:E$201), 10, 0)</f>
        <v>0</v>
      </c>
      <c r="M194">
        <f>IF(Table2[[#This Row],[Assist]] = MAX(F$192:F$201), 10, 0)</f>
        <v>0</v>
      </c>
      <c r="N194">
        <f>IF(Table2[[#This Row],[First Bloods]] = MAX(H$192:H$201), 10, 0)</f>
        <v>0</v>
      </c>
      <c r="O194">
        <f>IF(Table2[[#This Row],[Plants]] = MAX(I$192:I$201), 10, 0)</f>
        <v>10</v>
      </c>
      <c r="P194">
        <f>IF(Table2[[#This Row],[Defuses]] = MAX(J$192:J$201), 10, 0)</f>
        <v>0</v>
      </c>
    </row>
    <row r="195" spans="1:16" x14ac:dyDescent="0.2">
      <c r="A195" s="4" t="s">
        <v>69</v>
      </c>
      <c r="B195" t="s">
        <v>16</v>
      </c>
      <c r="C195">
        <v>199</v>
      </c>
      <c r="D195">
        <v>13</v>
      </c>
      <c r="E195">
        <v>15</v>
      </c>
      <c r="F195">
        <v>0</v>
      </c>
      <c r="G195">
        <v>48</v>
      </c>
      <c r="H195">
        <v>1</v>
      </c>
      <c r="I195">
        <v>1</v>
      </c>
      <c r="J195">
        <v>0</v>
      </c>
      <c r="K195">
        <v>50</v>
      </c>
      <c r="L195">
        <f>IF(Table2[[#This Row],[Death]] = MIN(E$192:E$201), 10, 0)</f>
        <v>0</v>
      </c>
      <c r="M195">
        <f>IF(Table2[[#This Row],[Assist]] = MAX(F$192:F$201), 10, 0)</f>
        <v>0</v>
      </c>
      <c r="N195">
        <f>IF(Table2[[#This Row],[First Bloods]] = MAX(H$192:H$201), 10, 0)</f>
        <v>0</v>
      </c>
      <c r="O195">
        <f>IF(Table2[[#This Row],[Plants]] = MAX(I$192:I$201), 10, 0)</f>
        <v>0</v>
      </c>
      <c r="P195">
        <f>IF(Table2[[#This Row],[Defuses]] = MAX(J$192:J$201), 10, 0)</f>
        <v>0</v>
      </c>
    </row>
    <row r="196" spans="1:16" x14ac:dyDescent="0.2">
      <c r="A196" s="4" t="s">
        <v>69</v>
      </c>
      <c r="B196" t="s">
        <v>98</v>
      </c>
      <c r="C196">
        <v>192</v>
      </c>
      <c r="D196">
        <v>13</v>
      </c>
      <c r="E196">
        <v>13</v>
      </c>
      <c r="F196">
        <v>5</v>
      </c>
      <c r="G196">
        <v>61</v>
      </c>
      <c r="H196">
        <v>1</v>
      </c>
      <c r="I196">
        <v>0</v>
      </c>
      <c r="J196">
        <v>0</v>
      </c>
      <c r="K196">
        <v>0</v>
      </c>
      <c r="L196">
        <f>IF(Table2[[#This Row],[Death]] = MIN(E$192:E$201), 10, 0)</f>
        <v>0</v>
      </c>
      <c r="M196">
        <f>IF(Table2[[#This Row],[Assist]] = MAX(F$192:F$201), 10, 0)</f>
        <v>0</v>
      </c>
      <c r="N196">
        <f>IF(Table2[[#This Row],[First Bloods]] = MAX(H$192:H$201), 10, 0)</f>
        <v>0</v>
      </c>
      <c r="O196">
        <f>IF(Table2[[#This Row],[Plants]] = MAX(I$192:I$201), 10, 0)</f>
        <v>0</v>
      </c>
      <c r="P196">
        <f>IF(Table2[[#This Row],[Defuses]] = MAX(J$192:J$201), 10, 0)</f>
        <v>0</v>
      </c>
    </row>
    <row r="197" spans="1:16" x14ac:dyDescent="0.2">
      <c r="A197" s="4" t="s">
        <v>69</v>
      </c>
      <c r="B197" t="s">
        <v>13</v>
      </c>
      <c r="C197">
        <v>185</v>
      </c>
      <c r="D197">
        <v>14</v>
      </c>
      <c r="E197">
        <v>14</v>
      </c>
      <c r="F197">
        <v>3</v>
      </c>
      <c r="G197">
        <v>51</v>
      </c>
      <c r="H197">
        <v>0</v>
      </c>
      <c r="I197">
        <v>1</v>
      </c>
      <c r="J197">
        <v>1</v>
      </c>
      <c r="K197">
        <v>0</v>
      </c>
      <c r="L197">
        <f>IF(Table2[[#This Row],[Death]] = MIN(E$192:E$201), 10, 0)</f>
        <v>0</v>
      </c>
      <c r="M197">
        <f>IF(Table2[[#This Row],[Assist]] = MAX(F$192:F$201), 10, 0)</f>
        <v>0</v>
      </c>
      <c r="N197">
        <f>IF(Table2[[#This Row],[First Bloods]] = MAX(H$192:H$201), 10, 0)</f>
        <v>0</v>
      </c>
      <c r="O197">
        <f>IF(Table2[[#This Row],[Plants]] = MAX(I$192:I$201), 10, 0)</f>
        <v>0</v>
      </c>
      <c r="P197">
        <f>IF(Table2[[#This Row],[Defuses]] = MAX(J$192:J$201), 10, 0)</f>
        <v>10</v>
      </c>
    </row>
    <row r="198" spans="1:16" x14ac:dyDescent="0.2">
      <c r="A198" s="4" t="s">
        <v>69</v>
      </c>
      <c r="B198" t="s">
        <v>96</v>
      </c>
      <c r="C198">
        <v>160</v>
      </c>
      <c r="D198">
        <v>8</v>
      </c>
      <c r="E198">
        <v>16</v>
      </c>
      <c r="F198">
        <v>10</v>
      </c>
      <c r="G198">
        <v>49</v>
      </c>
      <c r="H198">
        <v>4</v>
      </c>
      <c r="I198">
        <v>0</v>
      </c>
      <c r="J198">
        <v>0</v>
      </c>
      <c r="K198">
        <v>0</v>
      </c>
      <c r="L198">
        <f>IF(Table2[[#This Row],[Death]] = MIN(E$192:E$201), 10, 0)</f>
        <v>0</v>
      </c>
      <c r="M198">
        <f>IF(Table2[[#This Row],[Assist]] = MAX(F$192:F$201), 10, 0)</f>
        <v>10</v>
      </c>
      <c r="N198">
        <f>IF(Table2[[#This Row],[First Bloods]] = MAX(H$192:H$201), 10, 0)</f>
        <v>0</v>
      </c>
      <c r="O198">
        <f>IF(Table2[[#This Row],[Plants]] = MAX(I$192:I$201), 10, 0)</f>
        <v>0</v>
      </c>
      <c r="P198">
        <f>IF(Table2[[#This Row],[Defuses]] = MAX(J$192:J$201), 10, 0)</f>
        <v>0</v>
      </c>
    </row>
    <row r="199" spans="1:16" x14ac:dyDescent="0.2">
      <c r="A199" s="4" t="s">
        <v>69</v>
      </c>
      <c r="B199" t="s">
        <v>56</v>
      </c>
      <c r="C199">
        <v>149</v>
      </c>
      <c r="D199">
        <v>10</v>
      </c>
      <c r="E199">
        <v>9</v>
      </c>
      <c r="F199">
        <v>5</v>
      </c>
      <c r="G199">
        <v>52</v>
      </c>
      <c r="H199">
        <v>0</v>
      </c>
      <c r="I199">
        <v>1</v>
      </c>
      <c r="J199">
        <v>0</v>
      </c>
      <c r="K199">
        <v>50</v>
      </c>
      <c r="L199">
        <f>IF(Table2[[#This Row],[Death]] = MIN(E$192:E$201), 10, 0)</f>
        <v>10</v>
      </c>
      <c r="M199">
        <f>IF(Table2[[#This Row],[Assist]] = MAX(F$192:F$201), 10, 0)</f>
        <v>0</v>
      </c>
      <c r="N199">
        <f>IF(Table2[[#This Row],[First Bloods]] = MAX(H$192:H$201), 10, 0)</f>
        <v>0</v>
      </c>
      <c r="O199">
        <f>IF(Table2[[#This Row],[Plants]] = MAX(I$192:I$201), 10, 0)</f>
        <v>0</v>
      </c>
      <c r="P199">
        <f>IF(Table2[[#This Row],[Defuses]] = MAX(J$192:J$201), 10, 0)</f>
        <v>0</v>
      </c>
    </row>
    <row r="200" spans="1:16" x14ac:dyDescent="0.2">
      <c r="A200" s="4" t="s">
        <v>69</v>
      </c>
      <c r="B200" t="s">
        <v>75</v>
      </c>
      <c r="C200">
        <v>134</v>
      </c>
      <c r="D200">
        <v>8</v>
      </c>
      <c r="E200">
        <v>10</v>
      </c>
      <c r="F200">
        <v>7</v>
      </c>
      <c r="G200">
        <v>37</v>
      </c>
      <c r="H200">
        <v>3</v>
      </c>
      <c r="I200">
        <v>0</v>
      </c>
      <c r="J200">
        <v>0</v>
      </c>
      <c r="K200">
        <v>50</v>
      </c>
      <c r="L200">
        <f>IF(Table2[[#This Row],[Death]] = MIN(E$192:E$201), 10, 0)</f>
        <v>0</v>
      </c>
      <c r="M200">
        <f>IF(Table2[[#This Row],[Assist]] = MAX(F$192:F$201), 10, 0)</f>
        <v>0</v>
      </c>
      <c r="N200">
        <f>IF(Table2[[#This Row],[First Bloods]] = MAX(H$192:H$201), 10, 0)</f>
        <v>0</v>
      </c>
      <c r="O200">
        <f>IF(Table2[[#This Row],[Plants]] = MAX(I$192:I$201), 10, 0)</f>
        <v>0</v>
      </c>
      <c r="P200">
        <f>IF(Table2[[#This Row],[Defuses]] = MAX(J$192:J$201), 10, 0)</f>
        <v>0</v>
      </c>
    </row>
    <row r="201" spans="1:16" x14ac:dyDescent="0.2">
      <c r="A201" s="7" t="s">
        <v>69</v>
      </c>
      <c r="B201" s="2" t="s">
        <v>19</v>
      </c>
      <c r="C201" s="2">
        <v>65</v>
      </c>
      <c r="D201" s="2">
        <v>4</v>
      </c>
      <c r="E201" s="2">
        <v>17</v>
      </c>
      <c r="F201" s="2">
        <v>2</v>
      </c>
      <c r="G201" s="2">
        <v>21</v>
      </c>
      <c r="H201" s="2">
        <v>0</v>
      </c>
      <c r="I201" s="2">
        <v>0</v>
      </c>
      <c r="J201" s="2">
        <v>0</v>
      </c>
      <c r="K201" s="2">
        <v>0</v>
      </c>
      <c r="L201" s="2">
        <f>IF(Table2[[#This Row],[Death]] = MIN(E$192:E$201), 10, 0)</f>
        <v>0</v>
      </c>
      <c r="M201" s="2">
        <f>IF(Table2[[#This Row],[Assist]] = MAX(F$192:F$201), 10, 0)</f>
        <v>0</v>
      </c>
      <c r="N201" s="2">
        <f>IF(Table2[[#This Row],[First Bloods]] = MAX(H$192:H$201), 10, 0)</f>
        <v>0</v>
      </c>
      <c r="O201" s="2">
        <f>IF(Table2[[#This Row],[Plants]] = MAX(I$192:I$201), 10, 0)</f>
        <v>0</v>
      </c>
      <c r="P201" s="2">
        <f>IF(Table2[[#This Row],[Defuses]] = MAX(J$192:J$201), 10, 0)</f>
        <v>0</v>
      </c>
    </row>
    <row r="202" spans="1:16" x14ac:dyDescent="0.2">
      <c r="A202" s="4" t="s">
        <v>70</v>
      </c>
      <c r="B202" t="s">
        <v>21</v>
      </c>
      <c r="C202">
        <v>399</v>
      </c>
      <c r="D202">
        <v>27</v>
      </c>
      <c r="E202">
        <v>11</v>
      </c>
      <c r="F202">
        <v>3</v>
      </c>
      <c r="G202">
        <v>101</v>
      </c>
      <c r="H202">
        <v>7</v>
      </c>
      <c r="I202">
        <v>2</v>
      </c>
      <c r="J202">
        <v>1</v>
      </c>
      <c r="K202">
        <v>50</v>
      </c>
      <c r="L202" s="1">
        <f>IF(Table2[[#This Row],[Death]] = MIN(E$202:E$211), 10, 0)</f>
        <v>0</v>
      </c>
      <c r="M202">
        <f>IF(Table2[[#This Row],[Assist]] = MAX(F$202:F$211), 10, 0)</f>
        <v>0</v>
      </c>
      <c r="N202">
        <f>IF(Table2[[#This Row],[First Bloods]] = MAX(H$202:H$211), 10, 0)</f>
        <v>10</v>
      </c>
      <c r="O202">
        <f>IF(Table2[[#This Row],[Plants]] = MAX(I$202:I$211), 10, 0)</f>
        <v>0</v>
      </c>
      <c r="P202">
        <f>IF(Table2[[#This Row],[Defuses]] = MAX(J$202:J$211), 10, 0)</f>
        <v>10</v>
      </c>
    </row>
    <row r="203" spans="1:16" x14ac:dyDescent="0.2">
      <c r="A203" s="4" t="s">
        <v>70</v>
      </c>
      <c r="B203" t="s">
        <v>98</v>
      </c>
      <c r="C203">
        <v>339</v>
      </c>
      <c r="D203">
        <v>24</v>
      </c>
      <c r="E203">
        <v>9</v>
      </c>
      <c r="F203">
        <v>5</v>
      </c>
      <c r="G203">
        <v>116</v>
      </c>
      <c r="H203">
        <v>1</v>
      </c>
      <c r="I203">
        <v>0</v>
      </c>
      <c r="J203">
        <v>1</v>
      </c>
      <c r="K203">
        <v>50</v>
      </c>
      <c r="L203">
        <f>IF(Table2[[#This Row],[Death]] = MIN(E$202:E$211), 10, 0)</f>
        <v>10</v>
      </c>
      <c r="M203">
        <f>IF(Table2[[#This Row],[Assist]] = MAX(F$202:F$211), 10, 0)</f>
        <v>0</v>
      </c>
      <c r="N203">
        <f>IF(Table2[[#This Row],[First Bloods]] = MAX(H$202:H$211), 10, 0)</f>
        <v>0</v>
      </c>
      <c r="O203">
        <f>IF(Table2[[#This Row],[Plants]] = MAX(I$202:I$211), 10, 0)</f>
        <v>0</v>
      </c>
      <c r="P203">
        <f>IF(Table2[[#This Row],[Defuses]] = MAX(J$202:J$211), 10, 0)</f>
        <v>10</v>
      </c>
    </row>
    <row r="204" spans="1:16" x14ac:dyDescent="0.2">
      <c r="A204" s="4" t="s">
        <v>70</v>
      </c>
      <c r="B204" t="s">
        <v>97</v>
      </c>
      <c r="C204">
        <v>248</v>
      </c>
      <c r="D204">
        <v>17</v>
      </c>
      <c r="E204">
        <v>15</v>
      </c>
      <c r="F204">
        <v>1</v>
      </c>
      <c r="G204">
        <v>65</v>
      </c>
      <c r="H204">
        <v>2</v>
      </c>
      <c r="I204">
        <v>1</v>
      </c>
      <c r="J204">
        <v>0</v>
      </c>
      <c r="K204">
        <v>0</v>
      </c>
      <c r="L204">
        <f>IF(Table2[[#This Row],[Death]] = MIN(E$202:E$211), 10, 0)</f>
        <v>0</v>
      </c>
      <c r="M204">
        <f>IF(Table2[[#This Row],[Assist]] = MAX(F$202:F$211), 10, 0)</f>
        <v>0</v>
      </c>
      <c r="N204">
        <f>IF(Table2[[#This Row],[First Bloods]] = MAX(H$202:H$211), 10, 0)</f>
        <v>0</v>
      </c>
      <c r="O204">
        <f>IF(Table2[[#This Row],[Plants]] = MAX(I$202:I$211), 10, 0)</f>
        <v>0</v>
      </c>
      <c r="P204">
        <f>IF(Table2[[#This Row],[Defuses]] = MAX(J$202:J$211), 10, 0)</f>
        <v>0</v>
      </c>
    </row>
    <row r="205" spans="1:16" x14ac:dyDescent="0.2">
      <c r="A205" s="4" t="s">
        <v>70</v>
      </c>
      <c r="B205" t="s">
        <v>13</v>
      </c>
      <c r="C205">
        <v>216</v>
      </c>
      <c r="D205">
        <v>14</v>
      </c>
      <c r="E205">
        <v>13</v>
      </c>
      <c r="F205">
        <v>6</v>
      </c>
      <c r="G205">
        <v>70</v>
      </c>
      <c r="H205">
        <v>2</v>
      </c>
      <c r="I205">
        <v>1</v>
      </c>
      <c r="J205">
        <v>0</v>
      </c>
      <c r="K205">
        <v>50</v>
      </c>
      <c r="L205">
        <f>IF(Table2[[#This Row],[Death]] = MIN(E$202:E$211), 10, 0)</f>
        <v>0</v>
      </c>
      <c r="M205">
        <f>IF(Table2[[#This Row],[Assist]] = MAX(F$202:F$211), 10, 0)</f>
        <v>10</v>
      </c>
      <c r="N205">
        <f>IF(Table2[[#This Row],[First Bloods]] = MAX(H$202:H$211), 10, 0)</f>
        <v>0</v>
      </c>
      <c r="O205">
        <f>IF(Table2[[#This Row],[Plants]] = MAX(I$202:I$211), 10, 0)</f>
        <v>0</v>
      </c>
      <c r="P205">
        <f>IF(Table2[[#This Row],[Defuses]] = MAX(J$202:J$211), 10, 0)</f>
        <v>0</v>
      </c>
    </row>
    <row r="206" spans="1:16" x14ac:dyDescent="0.2">
      <c r="A206" s="4" t="s">
        <v>70</v>
      </c>
      <c r="B206" t="s">
        <v>95</v>
      </c>
      <c r="C206">
        <v>191</v>
      </c>
      <c r="D206">
        <v>11</v>
      </c>
      <c r="E206">
        <v>16</v>
      </c>
      <c r="F206">
        <v>5</v>
      </c>
      <c r="G206">
        <v>48</v>
      </c>
      <c r="H206">
        <v>3</v>
      </c>
      <c r="I206">
        <v>0</v>
      </c>
      <c r="J206">
        <v>0</v>
      </c>
      <c r="K206">
        <v>0</v>
      </c>
      <c r="L206">
        <f>IF(Table2[[#This Row],[Death]] = MIN(E$202:E$211), 10, 0)</f>
        <v>0</v>
      </c>
      <c r="M206">
        <f>IF(Table2[[#This Row],[Assist]] = MAX(F$202:F$211), 10, 0)</f>
        <v>0</v>
      </c>
      <c r="N206">
        <f>IF(Table2[[#This Row],[First Bloods]] = MAX(H$202:H$211), 10, 0)</f>
        <v>0</v>
      </c>
      <c r="O206">
        <f>IF(Table2[[#This Row],[Plants]] = MAX(I$202:I$211), 10, 0)</f>
        <v>0</v>
      </c>
      <c r="P206">
        <f>IF(Table2[[#This Row],[Defuses]] = MAX(J$202:J$211), 10, 0)</f>
        <v>0</v>
      </c>
    </row>
    <row r="207" spans="1:16" x14ac:dyDescent="0.2">
      <c r="A207" s="4" t="s">
        <v>70</v>
      </c>
      <c r="B207" t="s">
        <v>56</v>
      </c>
      <c r="C207">
        <v>190</v>
      </c>
      <c r="D207">
        <v>12</v>
      </c>
      <c r="E207">
        <v>14</v>
      </c>
      <c r="F207">
        <v>2</v>
      </c>
      <c r="G207">
        <v>53</v>
      </c>
      <c r="H207">
        <v>0</v>
      </c>
      <c r="I207">
        <v>3</v>
      </c>
      <c r="J207">
        <v>0</v>
      </c>
      <c r="K207">
        <v>0</v>
      </c>
      <c r="L207">
        <f>IF(Table2[[#This Row],[Death]] = MIN(E$202:E$211), 10, 0)</f>
        <v>0</v>
      </c>
      <c r="M207">
        <f>IF(Table2[[#This Row],[Assist]] = MAX(F$202:F$211), 10, 0)</f>
        <v>0</v>
      </c>
      <c r="N207">
        <f>IF(Table2[[#This Row],[First Bloods]] = MAX(H$202:H$211), 10, 0)</f>
        <v>0</v>
      </c>
      <c r="O207">
        <f>IF(Table2[[#This Row],[Plants]] = MAX(I$202:I$211), 10, 0)</f>
        <v>10</v>
      </c>
      <c r="P207">
        <f>IF(Table2[[#This Row],[Defuses]] = MAX(J$202:J$211), 10, 0)</f>
        <v>0</v>
      </c>
    </row>
    <row r="208" spans="1:16" x14ac:dyDescent="0.2">
      <c r="A208" s="4" t="s">
        <v>70</v>
      </c>
      <c r="B208" t="s">
        <v>75</v>
      </c>
      <c r="C208">
        <v>176</v>
      </c>
      <c r="D208">
        <v>12</v>
      </c>
      <c r="E208">
        <v>14</v>
      </c>
      <c r="F208">
        <v>1</v>
      </c>
      <c r="G208">
        <v>50</v>
      </c>
      <c r="H208">
        <v>2</v>
      </c>
      <c r="I208">
        <v>1</v>
      </c>
      <c r="J208">
        <v>0</v>
      </c>
      <c r="K208">
        <v>0</v>
      </c>
      <c r="L208">
        <f>IF(Table2[[#This Row],[Death]] = MIN(E$202:E$211), 10, 0)</f>
        <v>0</v>
      </c>
      <c r="M208">
        <f>IF(Table2[[#This Row],[Assist]] = MAX(F$202:F$211), 10, 0)</f>
        <v>0</v>
      </c>
      <c r="N208">
        <f>IF(Table2[[#This Row],[First Bloods]] = MAX(H$202:H$211), 10, 0)</f>
        <v>0</v>
      </c>
      <c r="O208">
        <f>IF(Table2[[#This Row],[Plants]] = MAX(I$202:I$211), 10, 0)</f>
        <v>0</v>
      </c>
      <c r="P208">
        <f>IF(Table2[[#This Row],[Defuses]] = MAX(J$202:J$211), 10, 0)</f>
        <v>0</v>
      </c>
    </row>
    <row r="209" spans="1:16" x14ac:dyDescent="0.2">
      <c r="A209" s="4" t="s">
        <v>70</v>
      </c>
      <c r="B209" t="s">
        <v>16</v>
      </c>
      <c r="C209">
        <v>167</v>
      </c>
      <c r="D209">
        <v>10</v>
      </c>
      <c r="E209">
        <v>16</v>
      </c>
      <c r="F209">
        <v>4</v>
      </c>
      <c r="G209">
        <v>45</v>
      </c>
      <c r="H209">
        <v>1</v>
      </c>
      <c r="I209">
        <v>0</v>
      </c>
      <c r="J209">
        <v>0</v>
      </c>
      <c r="K209">
        <v>0</v>
      </c>
      <c r="L209">
        <f>IF(Table2[[#This Row],[Death]] = MIN(E$202:E$211), 10, 0)</f>
        <v>0</v>
      </c>
      <c r="M209">
        <f>IF(Table2[[#This Row],[Assist]] = MAX(F$202:F$211), 10, 0)</f>
        <v>0</v>
      </c>
      <c r="N209">
        <f>IF(Table2[[#This Row],[First Bloods]] = MAX(H$202:H$211), 10, 0)</f>
        <v>0</v>
      </c>
      <c r="O209">
        <f>IF(Table2[[#This Row],[Plants]] = MAX(I$202:I$211), 10, 0)</f>
        <v>0</v>
      </c>
      <c r="P209">
        <f>IF(Table2[[#This Row],[Defuses]] = MAX(J$202:J$211), 10, 0)</f>
        <v>0</v>
      </c>
    </row>
    <row r="210" spans="1:16" x14ac:dyDescent="0.2">
      <c r="A210" s="4" t="s">
        <v>70</v>
      </c>
      <c r="B210" t="s">
        <v>96</v>
      </c>
      <c r="C210">
        <v>144</v>
      </c>
      <c r="D210">
        <v>7</v>
      </c>
      <c r="E210">
        <v>16</v>
      </c>
      <c r="F210">
        <v>6</v>
      </c>
      <c r="G210">
        <v>36</v>
      </c>
      <c r="H210">
        <v>0</v>
      </c>
      <c r="I210">
        <v>0</v>
      </c>
      <c r="J210">
        <v>0</v>
      </c>
      <c r="K210">
        <v>50</v>
      </c>
      <c r="L210">
        <f>IF(Table2[[#This Row],[Death]] = MIN(E$202:E$211), 10, 0)</f>
        <v>0</v>
      </c>
      <c r="M210">
        <f>IF(Table2[[#This Row],[Assist]] = MAX(F$202:F$211), 10, 0)</f>
        <v>10</v>
      </c>
      <c r="N210">
        <f>IF(Table2[[#This Row],[First Bloods]] = MAX(H$202:H$211), 10, 0)</f>
        <v>0</v>
      </c>
      <c r="O210">
        <f>IF(Table2[[#This Row],[Plants]] = MAX(I$202:I$211), 10, 0)</f>
        <v>0</v>
      </c>
      <c r="P210">
        <f>IF(Table2[[#This Row],[Defuses]] = MAX(J$202:J$211), 10, 0)</f>
        <v>0</v>
      </c>
    </row>
    <row r="211" spans="1:16" x14ac:dyDescent="0.2">
      <c r="A211" s="7" t="s">
        <v>70</v>
      </c>
      <c r="B211" s="2" t="s">
        <v>19</v>
      </c>
      <c r="C211" s="2">
        <v>37</v>
      </c>
      <c r="D211" s="2">
        <v>2</v>
      </c>
      <c r="E211" s="2">
        <v>13</v>
      </c>
      <c r="F211" s="2">
        <v>4</v>
      </c>
      <c r="G211" s="2">
        <v>14</v>
      </c>
      <c r="H211" s="2">
        <v>0</v>
      </c>
      <c r="I211" s="2">
        <v>1</v>
      </c>
      <c r="J211" s="2">
        <v>0</v>
      </c>
      <c r="K211" s="2">
        <v>50</v>
      </c>
      <c r="L211" s="2">
        <f>IF(Table2[[#This Row],[Death]] = MIN(E$202:E$211), 10, 0)</f>
        <v>0</v>
      </c>
      <c r="M211" s="2">
        <f>IF(Table2[[#This Row],[Assist]] = MAX(F$202:F$211), 10, 0)</f>
        <v>0</v>
      </c>
      <c r="N211" s="2">
        <f>IF(Table2[[#This Row],[First Bloods]] = MAX(H$202:H$211), 10, 0)</f>
        <v>0</v>
      </c>
      <c r="O211" s="2">
        <f>IF(Table2[[#This Row],[Plants]] = MAX(I$202:I$211), 10, 0)</f>
        <v>0</v>
      </c>
      <c r="P211" s="2">
        <f>IF(Table2[[#This Row],[Defuses]] = MAX(J$202:J$211), 10, 0)</f>
        <v>0</v>
      </c>
    </row>
    <row r="212" spans="1:16" x14ac:dyDescent="0.2">
      <c r="A212" s="4" t="s">
        <v>71</v>
      </c>
      <c r="B212" t="s">
        <v>60</v>
      </c>
      <c r="C212">
        <v>420</v>
      </c>
      <c r="D212">
        <v>33</v>
      </c>
      <c r="E212">
        <v>13</v>
      </c>
      <c r="F212">
        <v>2</v>
      </c>
      <c r="G212">
        <v>79</v>
      </c>
      <c r="H212">
        <v>5</v>
      </c>
      <c r="I212">
        <v>0</v>
      </c>
      <c r="J212">
        <v>0</v>
      </c>
      <c r="K212">
        <v>50</v>
      </c>
      <c r="L212" s="1">
        <f>IF(Table2[[#This Row],[Death]] = MIN(E$212:E$221), 10, 0)</f>
        <v>0</v>
      </c>
      <c r="M212">
        <f>IF(Table2[[#This Row],[Assist]] = MAX(F$212:F$221), 10, 0)</f>
        <v>0</v>
      </c>
      <c r="N212">
        <f>IF(Table2[[#This Row],[First Bloods]] = MAX(H$212:H$221), 10, 0)</f>
        <v>10</v>
      </c>
      <c r="O212">
        <f>IF(Table2[[#This Row],[Plants]] = MAX(I$212:I$221), 10, 0)</f>
        <v>0</v>
      </c>
      <c r="P212">
        <f>IF(Table2[[#This Row],[Defuses]] = MAX(J$212:J$221), 10, 0)</f>
        <v>0</v>
      </c>
    </row>
    <row r="213" spans="1:16" x14ac:dyDescent="0.2">
      <c r="A213" s="4" t="s">
        <v>71</v>
      </c>
      <c r="B213" t="s">
        <v>98</v>
      </c>
      <c r="C213">
        <v>319</v>
      </c>
      <c r="D213">
        <v>22</v>
      </c>
      <c r="E213">
        <v>16</v>
      </c>
      <c r="F213">
        <v>2</v>
      </c>
      <c r="G213">
        <v>94</v>
      </c>
      <c r="H213">
        <v>4</v>
      </c>
      <c r="I213">
        <v>0</v>
      </c>
      <c r="J213">
        <v>0</v>
      </c>
      <c r="K213">
        <v>0</v>
      </c>
      <c r="L213">
        <f>IF(Table2[[#This Row],[Death]] = MIN(E$212:E$221), 10, 0)</f>
        <v>0</v>
      </c>
      <c r="M213">
        <f>IF(Table2[[#This Row],[Assist]] = MAX(F$212:F$221), 10, 0)</f>
        <v>0</v>
      </c>
      <c r="N213">
        <f>IF(Table2[[#This Row],[First Bloods]] = MAX(H$212:H$221), 10, 0)</f>
        <v>0</v>
      </c>
      <c r="O213">
        <f>IF(Table2[[#This Row],[Plants]] = MAX(I$212:I$221), 10, 0)</f>
        <v>0</v>
      </c>
      <c r="P213">
        <f>IF(Table2[[#This Row],[Defuses]] = MAX(J$212:J$221), 10, 0)</f>
        <v>0</v>
      </c>
    </row>
    <row r="214" spans="1:16" x14ac:dyDescent="0.2">
      <c r="A214" s="4" t="s">
        <v>71</v>
      </c>
      <c r="B214" t="s">
        <v>99</v>
      </c>
      <c r="C214">
        <v>247</v>
      </c>
      <c r="D214">
        <v>19</v>
      </c>
      <c r="E214">
        <v>13</v>
      </c>
      <c r="F214">
        <v>1</v>
      </c>
      <c r="G214">
        <v>77</v>
      </c>
      <c r="H214">
        <v>3</v>
      </c>
      <c r="I214">
        <v>6</v>
      </c>
      <c r="J214">
        <v>0</v>
      </c>
      <c r="K214">
        <v>50</v>
      </c>
      <c r="L214">
        <f>IF(Table2[[#This Row],[Death]] = MIN(E$212:E$221), 10, 0)</f>
        <v>0</v>
      </c>
      <c r="M214">
        <f>IF(Table2[[#This Row],[Assist]] = MAX(F$212:F$221), 10, 0)</f>
        <v>0</v>
      </c>
      <c r="N214">
        <f>IF(Table2[[#This Row],[First Bloods]] = MAX(H$212:H$221), 10, 0)</f>
        <v>0</v>
      </c>
      <c r="O214">
        <f>IF(Table2[[#This Row],[Plants]] = MAX(I$212:I$221), 10, 0)</f>
        <v>10</v>
      </c>
      <c r="P214">
        <f>IF(Table2[[#This Row],[Defuses]] = MAX(J$212:J$221), 10, 0)</f>
        <v>0</v>
      </c>
    </row>
    <row r="215" spans="1:16" x14ac:dyDescent="0.2">
      <c r="A215" s="4" t="s">
        <v>71</v>
      </c>
      <c r="B215" t="s">
        <v>100</v>
      </c>
      <c r="C215">
        <v>184</v>
      </c>
      <c r="D215">
        <v>13</v>
      </c>
      <c r="E215">
        <v>15</v>
      </c>
      <c r="F215">
        <v>7</v>
      </c>
      <c r="G215">
        <v>49</v>
      </c>
      <c r="H215">
        <v>2</v>
      </c>
      <c r="I215">
        <v>0</v>
      </c>
      <c r="J215">
        <v>0</v>
      </c>
      <c r="K215">
        <v>0</v>
      </c>
      <c r="L215">
        <f>IF(Table2[[#This Row],[Death]] = MIN(E$212:E$221), 10, 0)</f>
        <v>0</v>
      </c>
      <c r="M215">
        <f>IF(Table2[[#This Row],[Assist]] = MAX(F$212:F$221), 10, 0)</f>
        <v>0</v>
      </c>
      <c r="N215">
        <f>IF(Table2[[#This Row],[First Bloods]] = MAX(H$212:H$221), 10, 0)</f>
        <v>0</v>
      </c>
      <c r="O215">
        <f>IF(Table2[[#This Row],[Plants]] = MAX(I$212:I$221), 10, 0)</f>
        <v>0</v>
      </c>
      <c r="P215">
        <f>IF(Table2[[#This Row],[Defuses]] = MAX(J$212:J$221), 10, 0)</f>
        <v>0</v>
      </c>
    </row>
    <row r="216" spans="1:16" x14ac:dyDescent="0.2">
      <c r="A216" s="4" t="s">
        <v>71</v>
      </c>
      <c r="B216" t="s">
        <v>37</v>
      </c>
      <c r="C216">
        <v>176</v>
      </c>
      <c r="D216">
        <v>12</v>
      </c>
      <c r="E216">
        <v>15</v>
      </c>
      <c r="F216">
        <v>5</v>
      </c>
      <c r="G216">
        <v>48</v>
      </c>
      <c r="H216">
        <v>3</v>
      </c>
      <c r="I216">
        <v>0</v>
      </c>
      <c r="J216">
        <v>0</v>
      </c>
      <c r="K216">
        <v>50</v>
      </c>
      <c r="L216">
        <f>IF(Table2[[#This Row],[Death]] = MIN(E$212:E$221), 10, 0)</f>
        <v>0</v>
      </c>
      <c r="M216">
        <f>IF(Table2[[#This Row],[Assist]] = MAX(F$212:F$221), 10, 0)</f>
        <v>0</v>
      </c>
      <c r="N216">
        <f>IF(Table2[[#This Row],[First Bloods]] = MAX(H$212:H$221), 10, 0)</f>
        <v>0</v>
      </c>
      <c r="O216">
        <f>IF(Table2[[#This Row],[Plants]] = MAX(I$212:I$221), 10, 0)</f>
        <v>0</v>
      </c>
      <c r="P216">
        <f>IF(Table2[[#This Row],[Defuses]] = MAX(J$212:J$221), 10, 0)</f>
        <v>0</v>
      </c>
    </row>
    <row r="217" spans="1:16" x14ac:dyDescent="0.2">
      <c r="A217" s="4" t="s">
        <v>71</v>
      </c>
      <c r="B217" t="s">
        <v>96</v>
      </c>
      <c r="C217">
        <v>169</v>
      </c>
      <c r="D217">
        <v>13</v>
      </c>
      <c r="E217">
        <v>12</v>
      </c>
      <c r="F217">
        <v>13</v>
      </c>
      <c r="G217">
        <v>39</v>
      </c>
      <c r="H217">
        <v>2</v>
      </c>
      <c r="I217">
        <v>1</v>
      </c>
      <c r="J217">
        <v>1</v>
      </c>
      <c r="K217">
        <v>50</v>
      </c>
      <c r="L217">
        <f>IF(Table2[[#This Row],[Death]] = MIN(E$212:E$221), 10, 0)</f>
        <v>0</v>
      </c>
      <c r="M217">
        <f>IF(Table2[[#This Row],[Assist]] = MAX(F$212:F$221), 10, 0)</f>
        <v>10</v>
      </c>
      <c r="N217">
        <f>IF(Table2[[#This Row],[First Bloods]] = MAX(H$212:H$221), 10, 0)</f>
        <v>0</v>
      </c>
      <c r="O217">
        <f>IF(Table2[[#This Row],[Plants]] = MAX(I$212:I$221), 10, 0)</f>
        <v>0</v>
      </c>
      <c r="P217">
        <f>IF(Table2[[#This Row],[Defuses]] = MAX(J$212:J$221), 10, 0)</f>
        <v>10</v>
      </c>
    </row>
    <row r="218" spans="1:16" x14ac:dyDescent="0.2">
      <c r="A218" s="4" t="s">
        <v>71</v>
      </c>
      <c r="B218" t="s">
        <v>17</v>
      </c>
      <c r="C218">
        <v>167</v>
      </c>
      <c r="D218">
        <v>10</v>
      </c>
      <c r="E218">
        <v>17</v>
      </c>
      <c r="F218">
        <v>4</v>
      </c>
      <c r="G218">
        <v>54</v>
      </c>
      <c r="H218">
        <v>0</v>
      </c>
      <c r="I218">
        <v>1</v>
      </c>
      <c r="J218">
        <v>1</v>
      </c>
      <c r="K218">
        <v>0</v>
      </c>
      <c r="L218">
        <f>IF(Table2[[#This Row],[Death]] = MIN(E$212:E$221), 10, 0)</f>
        <v>0</v>
      </c>
      <c r="M218">
        <f>IF(Table2[[#This Row],[Assist]] = MAX(F$212:F$221), 10, 0)</f>
        <v>0</v>
      </c>
      <c r="N218">
        <f>IF(Table2[[#This Row],[First Bloods]] = MAX(H$212:H$221), 10, 0)</f>
        <v>0</v>
      </c>
      <c r="O218">
        <f>IF(Table2[[#This Row],[Plants]] = MAX(I$212:I$221), 10, 0)</f>
        <v>0</v>
      </c>
      <c r="P218">
        <f>IF(Table2[[#This Row],[Defuses]] = MAX(J$212:J$221), 10, 0)</f>
        <v>10</v>
      </c>
    </row>
    <row r="219" spans="1:16" x14ac:dyDescent="0.2">
      <c r="A219" s="4" t="s">
        <v>71</v>
      </c>
      <c r="B219" t="s">
        <v>55</v>
      </c>
      <c r="C219">
        <v>149</v>
      </c>
      <c r="D219">
        <v>9</v>
      </c>
      <c r="E219">
        <v>18</v>
      </c>
      <c r="F219">
        <v>10</v>
      </c>
      <c r="G219">
        <v>39</v>
      </c>
      <c r="H219">
        <v>0</v>
      </c>
      <c r="I219">
        <v>0</v>
      </c>
      <c r="J219">
        <v>0</v>
      </c>
      <c r="K219">
        <v>0</v>
      </c>
      <c r="L219">
        <f>IF(Table2[[#This Row],[Death]] = MIN(E$212:E$221), 10, 0)</f>
        <v>0</v>
      </c>
      <c r="M219">
        <f>IF(Table2[[#This Row],[Assist]] = MAX(F$212:F$221), 10, 0)</f>
        <v>0</v>
      </c>
      <c r="N219">
        <f>IF(Table2[[#This Row],[First Bloods]] = MAX(H$212:H$221), 10, 0)</f>
        <v>0</v>
      </c>
      <c r="O219">
        <f>IF(Table2[[#This Row],[Plants]] = MAX(I$212:I$221), 10, 0)</f>
        <v>0</v>
      </c>
      <c r="P219">
        <f>IF(Table2[[#This Row],[Defuses]] = MAX(J$212:J$221), 10, 0)</f>
        <v>0</v>
      </c>
    </row>
    <row r="220" spans="1:16" x14ac:dyDescent="0.2">
      <c r="A220" s="4" t="s">
        <v>71</v>
      </c>
      <c r="B220" t="s">
        <v>16</v>
      </c>
      <c r="C220">
        <v>129</v>
      </c>
      <c r="D220">
        <v>10</v>
      </c>
      <c r="E220">
        <v>18</v>
      </c>
      <c r="F220">
        <v>5</v>
      </c>
      <c r="G220">
        <v>27</v>
      </c>
      <c r="H220">
        <v>2</v>
      </c>
      <c r="I220">
        <v>3</v>
      </c>
      <c r="J220">
        <v>0</v>
      </c>
      <c r="K220">
        <v>0</v>
      </c>
      <c r="L220">
        <f>IF(Table2[[#This Row],[Death]] = MIN(E$212:E$221), 10, 0)</f>
        <v>0</v>
      </c>
      <c r="M220">
        <f>IF(Table2[[#This Row],[Assist]] = MAX(F$212:F$221), 10, 0)</f>
        <v>0</v>
      </c>
      <c r="N220">
        <f>IF(Table2[[#This Row],[First Bloods]] = MAX(H$212:H$221), 10, 0)</f>
        <v>0</v>
      </c>
      <c r="O220">
        <f>IF(Table2[[#This Row],[Plants]] = MAX(I$212:I$221), 10, 0)</f>
        <v>0</v>
      </c>
      <c r="P220">
        <f>IF(Table2[[#This Row],[Defuses]] = MAX(J$212:J$221), 10, 0)</f>
        <v>0</v>
      </c>
    </row>
    <row r="221" spans="1:16" x14ac:dyDescent="0.2">
      <c r="A221" s="7" t="s">
        <v>71</v>
      </c>
      <c r="B221" s="2" t="s">
        <v>56</v>
      </c>
      <c r="C221" s="2">
        <v>102</v>
      </c>
      <c r="D221" s="2">
        <v>7</v>
      </c>
      <c r="E221" s="2">
        <v>11</v>
      </c>
      <c r="F221" s="2">
        <v>6</v>
      </c>
      <c r="G221" s="2">
        <v>36</v>
      </c>
      <c r="H221" s="2">
        <v>0</v>
      </c>
      <c r="I221" s="2">
        <v>2</v>
      </c>
      <c r="J221" s="2">
        <v>0</v>
      </c>
      <c r="K221" s="2">
        <v>50</v>
      </c>
      <c r="L221" s="2">
        <f>IF(Table2[[#This Row],[Death]] = MIN(E$212:E$221), 10, 0)</f>
        <v>10</v>
      </c>
      <c r="M221" s="2">
        <f>IF(Table2[[#This Row],[Assist]] = MAX(F$212:F$221), 10, 0)</f>
        <v>0</v>
      </c>
      <c r="N221" s="2">
        <f>IF(Table2[[#This Row],[First Bloods]] = MAX(H$212:H$221), 10, 0)</f>
        <v>0</v>
      </c>
      <c r="O221" s="2">
        <f>IF(Table2[[#This Row],[Plants]] = MAX(I$212:I$221), 10, 0)</f>
        <v>0</v>
      </c>
      <c r="P221" s="2">
        <f>IF(Table2[[#This Row],[Defuses]] = MAX(J$212:J$221), 10, 0)</f>
        <v>0</v>
      </c>
    </row>
    <row r="222" spans="1:16" x14ac:dyDescent="0.2">
      <c r="A222" s="4" t="s">
        <v>72</v>
      </c>
      <c r="B222" t="s">
        <v>60</v>
      </c>
      <c r="C222">
        <v>345</v>
      </c>
      <c r="D222">
        <v>27</v>
      </c>
      <c r="E222">
        <v>15</v>
      </c>
      <c r="F222">
        <v>5</v>
      </c>
      <c r="G222">
        <v>82</v>
      </c>
      <c r="H222">
        <v>1</v>
      </c>
      <c r="I222">
        <v>1</v>
      </c>
      <c r="J222">
        <v>0</v>
      </c>
      <c r="K222">
        <v>50</v>
      </c>
      <c r="L222">
        <f>IF(Table2[[#This Row],[Death]] = MIN(E$222:E$231), 10, 0)</f>
        <v>0</v>
      </c>
      <c r="M222">
        <f>IF(Table2[[#This Row],[Assist]] = MAX(F$222:F$231), 10, 0)</f>
        <v>0</v>
      </c>
      <c r="N222">
        <f>IF(Table2[[#This Row],[First Bloods]] = MAX(H$222:H$231), 10, 0)</f>
        <v>0</v>
      </c>
      <c r="O222">
        <f>IF(Table2[[#This Row],[Plants]] = MAX(I$222:I$231), 10, 0)</f>
        <v>0</v>
      </c>
      <c r="P222">
        <f>IF(Table2[[#This Row],[Defuses]] = MAX(J$222:J$231), 10, 0)</f>
        <v>0</v>
      </c>
    </row>
    <row r="223" spans="1:16" x14ac:dyDescent="0.2">
      <c r="A223" s="4" t="s">
        <v>72</v>
      </c>
      <c r="B223" t="s">
        <v>16</v>
      </c>
      <c r="C223">
        <v>288</v>
      </c>
      <c r="D223">
        <v>24</v>
      </c>
      <c r="E223">
        <v>19</v>
      </c>
      <c r="F223">
        <v>3</v>
      </c>
      <c r="G223">
        <v>71</v>
      </c>
      <c r="H223">
        <v>3</v>
      </c>
      <c r="I223">
        <v>0</v>
      </c>
      <c r="J223">
        <v>0</v>
      </c>
      <c r="K223">
        <v>0</v>
      </c>
      <c r="L223">
        <f>IF(Table2[[#This Row],[Death]] = MIN(E$222:E$231), 10, 0)</f>
        <v>0</v>
      </c>
      <c r="M223">
        <f>IF(Table2[[#This Row],[Assist]] = MAX(F$222:F$231), 10, 0)</f>
        <v>0</v>
      </c>
      <c r="N223">
        <f>IF(Table2[[#This Row],[First Bloods]] = MAX(H$222:H$231), 10, 0)</f>
        <v>0</v>
      </c>
      <c r="O223">
        <f>IF(Table2[[#This Row],[Plants]] = MAX(I$222:I$231), 10, 0)</f>
        <v>0</v>
      </c>
      <c r="P223">
        <f>IF(Table2[[#This Row],[Defuses]] = MAX(J$222:J$231), 10, 0)</f>
        <v>0</v>
      </c>
    </row>
    <row r="224" spans="1:16" x14ac:dyDescent="0.2">
      <c r="A224" s="4" t="s">
        <v>72</v>
      </c>
      <c r="B224" t="s">
        <v>98</v>
      </c>
      <c r="C224">
        <v>274</v>
      </c>
      <c r="D224">
        <v>21</v>
      </c>
      <c r="E224">
        <v>19</v>
      </c>
      <c r="F224">
        <v>3</v>
      </c>
      <c r="G224">
        <v>75</v>
      </c>
      <c r="H224">
        <v>6</v>
      </c>
      <c r="I224">
        <v>2</v>
      </c>
      <c r="J224">
        <v>0</v>
      </c>
      <c r="K224">
        <v>0</v>
      </c>
      <c r="L224">
        <f>IF(Table2[[#This Row],[Death]] = MIN(E$222:E$231), 10, 0)</f>
        <v>0</v>
      </c>
      <c r="M224">
        <f>IF(Table2[[#This Row],[Assist]] = MAX(F$222:F$231), 10, 0)</f>
        <v>0</v>
      </c>
      <c r="N224">
        <f>IF(Table2[[#This Row],[First Bloods]] = MAX(H$222:H$231), 10, 0)</f>
        <v>10</v>
      </c>
      <c r="O224">
        <f>IF(Table2[[#This Row],[Plants]] = MAX(I$222:I$231), 10, 0)</f>
        <v>0</v>
      </c>
      <c r="P224">
        <f>IF(Table2[[#This Row],[Defuses]] = MAX(J$222:J$231), 10, 0)</f>
        <v>0</v>
      </c>
    </row>
    <row r="225" spans="1:16" x14ac:dyDescent="0.2">
      <c r="A225" s="4" t="s">
        <v>72</v>
      </c>
      <c r="B225" t="s">
        <v>96</v>
      </c>
      <c r="C225">
        <v>271</v>
      </c>
      <c r="D225">
        <v>23</v>
      </c>
      <c r="E225">
        <v>17</v>
      </c>
      <c r="F225">
        <v>9</v>
      </c>
      <c r="G225">
        <v>75</v>
      </c>
      <c r="H225">
        <v>3</v>
      </c>
      <c r="I225">
        <v>2</v>
      </c>
      <c r="J225">
        <v>2</v>
      </c>
      <c r="K225">
        <v>50</v>
      </c>
      <c r="L225">
        <f>IF(Table2[[#This Row],[Death]] = MIN(E$222:E$231), 10, 0)</f>
        <v>0</v>
      </c>
      <c r="M225">
        <f>IF(Table2[[#This Row],[Assist]] = MAX(F$222:F$231), 10, 0)</f>
        <v>0</v>
      </c>
      <c r="N225">
        <f>IF(Table2[[#This Row],[First Bloods]] = MAX(H$222:H$231), 10, 0)</f>
        <v>0</v>
      </c>
      <c r="O225">
        <f>IF(Table2[[#This Row],[Plants]] = MAX(I$222:I$231), 10, 0)</f>
        <v>0</v>
      </c>
      <c r="P225">
        <f>IF(Table2[[#This Row],[Defuses]] = MAX(J$222:J$231), 10, 0)</f>
        <v>10</v>
      </c>
    </row>
    <row r="226" spans="1:16" x14ac:dyDescent="0.2">
      <c r="A226" s="4" t="s">
        <v>72</v>
      </c>
      <c r="B226" t="s">
        <v>37</v>
      </c>
      <c r="C226">
        <v>203</v>
      </c>
      <c r="D226">
        <v>17</v>
      </c>
      <c r="E226">
        <v>13</v>
      </c>
      <c r="F226">
        <v>4</v>
      </c>
      <c r="G226">
        <v>66</v>
      </c>
      <c r="H226">
        <v>5</v>
      </c>
      <c r="I226">
        <v>4</v>
      </c>
      <c r="J226">
        <v>0</v>
      </c>
      <c r="K226">
        <v>50</v>
      </c>
      <c r="L226">
        <f>IF(Table2[[#This Row],[Death]] = MIN(E$222:E$231), 10, 0)</f>
        <v>0</v>
      </c>
      <c r="M226">
        <f>IF(Table2[[#This Row],[Assist]] = MAX(F$222:F$231), 10, 0)</f>
        <v>0</v>
      </c>
      <c r="N226">
        <f>IF(Table2[[#This Row],[First Bloods]] = MAX(H$222:H$231), 10, 0)</f>
        <v>0</v>
      </c>
      <c r="O226">
        <f>IF(Table2[[#This Row],[Plants]] = MAX(I$222:I$231), 10, 0)</f>
        <v>0</v>
      </c>
      <c r="P226">
        <f>IF(Table2[[#This Row],[Defuses]] = MAX(J$222:J$231), 10, 0)</f>
        <v>0</v>
      </c>
    </row>
    <row r="227" spans="1:16" x14ac:dyDescent="0.2">
      <c r="A227" s="4" t="s">
        <v>72</v>
      </c>
      <c r="B227" t="s">
        <v>100</v>
      </c>
      <c r="C227">
        <v>202</v>
      </c>
      <c r="D227">
        <v>16</v>
      </c>
      <c r="E227">
        <v>7</v>
      </c>
      <c r="F227">
        <v>10</v>
      </c>
      <c r="G227">
        <v>45</v>
      </c>
      <c r="H227">
        <v>2</v>
      </c>
      <c r="I227">
        <v>2</v>
      </c>
      <c r="J227">
        <v>0</v>
      </c>
      <c r="K227">
        <v>0</v>
      </c>
      <c r="L227">
        <f>IF(Table2[[#This Row],[Death]] = MIN(E$222:E$231), 10, 0)</f>
        <v>10</v>
      </c>
      <c r="M227">
        <f>IF(Table2[[#This Row],[Assist]] = MAX(F$222:F$231), 10, 0)</f>
        <v>10</v>
      </c>
      <c r="N227">
        <f>IF(Table2[[#This Row],[First Bloods]] = MAX(H$222:H$231), 10, 0)</f>
        <v>0</v>
      </c>
      <c r="O227">
        <f>IF(Table2[[#This Row],[Plants]] = MAX(I$222:I$231), 10, 0)</f>
        <v>0</v>
      </c>
      <c r="P227">
        <f>IF(Table2[[#This Row],[Defuses]] = MAX(J$222:J$231), 10, 0)</f>
        <v>0</v>
      </c>
    </row>
    <row r="228" spans="1:16" x14ac:dyDescent="0.2">
      <c r="A228" s="4" t="s">
        <v>72</v>
      </c>
      <c r="B228" t="s">
        <v>17</v>
      </c>
      <c r="C228">
        <v>181</v>
      </c>
      <c r="D228">
        <v>14</v>
      </c>
      <c r="E228">
        <v>15</v>
      </c>
      <c r="F228">
        <v>5</v>
      </c>
      <c r="G228">
        <v>52</v>
      </c>
      <c r="H228">
        <v>0</v>
      </c>
      <c r="I228">
        <v>5</v>
      </c>
      <c r="J228">
        <v>1</v>
      </c>
      <c r="K228">
        <v>0</v>
      </c>
      <c r="L228">
        <f>IF(Table2[[#This Row],[Death]] = MIN(E$222:E$231), 10, 0)</f>
        <v>0</v>
      </c>
      <c r="M228">
        <f>IF(Table2[[#This Row],[Assist]] = MAX(F$222:F$231), 10, 0)</f>
        <v>0</v>
      </c>
      <c r="N228">
        <f>IF(Table2[[#This Row],[First Bloods]] = MAX(H$222:H$231), 10, 0)</f>
        <v>0</v>
      </c>
      <c r="O228">
        <f>IF(Table2[[#This Row],[Plants]] = MAX(I$222:I$231), 10, 0)</f>
        <v>10</v>
      </c>
      <c r="P228">
        <f>IF(Table2[[#This Row],[Defuses]] = MAX(J$222:J$231), 10, 0)</f>
        <v>0</v>
      </c>
    </row>
    <row r="229" spans="1:16" x14ac:dyDescent="0.2">
      <c r="A229" s="4" t="s">
        <v>72</v>
      </c>
      <c r="B229" t="s">
        <v>55</v>
      </c>
      <c r="C229">
        <v>145</v>
      </c>
      <c r="D229">
        <v>10</v>
      </c>
      <c r="E229">
        <v>17</v>
      </c>
      <c r="F229">
        <v>4</v>
      </c>
      <c r="G229">
        <v>42</v>
      </c>
      <c r="H229">
        <v>1</v>
      </c>
      <c r="I229">
        <v>0</v>
      </c>
      <c r="J229">
        <v>0</v>
      </c>
      <c r="K229">
        <v>0</v>
      </c>
      <c r="L229">
        <f>IF(Table2[[#This Row],[Death]] = MIN(E$222:E$231), 10, 0)</f>
        <v>0</v>
      </c>
      <c r="M229">
        <f>IF(Table2[[#This Row],[Assist]] = MAX(F$222:F$231), 10, 0)</f>
        <v>0</v>
      </c>
      <c r="N229">
        <f>IF(Table2[[#This Row],[First Bloods]] = MAX(H$222:H$231), 10, 0)</f>
        <v>0</v>
      </c>
      <c r="O229">
        <f>IF(Table2[[#This Row],[Plants]] = MAX(I$222:I$231), 10, 0)</f>
        <v>0</v>
      </c>
      <c r="P229">
        <f>IF(Table2[[#This Row],[Defuses]] = MAX(J$222:J$231), 10, 0)</f>
        <v>0</v>
      </c>
    </row>
    <row r="230" spans="1:16" x14ac:dyDescent="0.2">
      <c r="A230" s="4" t="s">
        <v>72</v>
      </c>
      <c r="B230" t="s">
        <v>99</v>
      </c>
      <c r="C230">
        <v>141</v>
      </c>
      <c r="D230">
        <v>10</v>
      </c>
      <c r="E230">
        <v>26</v>
      </c>
      <c r="F230">
        <v>10</v>
      </c>
      <c r="G230">
        <v>41</v>
      </c>
      <c r="H230">
        <v>1</v>
      </c>
      <c r="I230">
        <v>1</v>
      </c>
      <c r="J230">
        <v>0</v>
      </c>
      <c r="K230">
        <v>50</v>
      </c>
      <c r="L230">
        <f>IF(Table2[[#This Row],[Death]] = MIN(E$222:E$231), 10, 0)</f>
        <v>0</v>
      </c>
      <c r="M230">
        <f>IF(Table2[[#This Row],[Assist]] = MAX(F$222:F$231), 10, 0)</f>
        <v>10</v>
      </c>
      <c r="N230">
        <f>IF(Table2[[#This Row],[First Bloods]] = MAX(H$222:H$231), 10, 0)</f>
        <v>0</v>
      </c>
      <c r="O230">
        <f>IF(Table2[[#This Row],[Plants]] = MAX(I$222:I$231), 10, 0)</f>
        <v>0</v>
      </c>
      <c r="P230">
        <f>IF(Table2[[#This Row],[Defuses]] = MAX(J$222:J$231), 10, 0)</f>
        <v>0</v>
      </c>
    </row>
    <row r="231" spans="1:16" x14ac:dyDescent="0.2">
      <c r="A231" s="7" t="s">
        <v>72</v>
      </c>
      <c r="B231" s="2" t="s">
        <v>56</v>
      </c>
      <c r="C231" s="2">
        <v>129</v>
      </c>
      <c r="D231" s="2">
        <v>10</v>
      </c>
      <c r="E231" s="2">
        <v>14</v>
      </c>
      <c r="F231" s="2">
        <v>4</v>
      </c>
      <c r="G231" s="2">
        <v>48</v>
      </c>
      <c r="H231" s="2">
        <v>1</v>
      </c>
      <c r="I231" s="2">
        <v>0</v>
      </c>
      <c r="J231" s="2">
        <v>0</v>
      </c>
      <c r="K231" s="2">
        <v>50</v>
      </c>
      <c r="L231" s="2">
        <f>IF(Table2[[#This Row],[Death]] = MIN(E$222:E$231), 10, 0)</f>
        <v>0</v>
      </c>
      <c r="M231" s="2">
        <f>IF(Table2[[#This Row],[Assist]] = MAX(F$222:F$231), 10, 0)</f>
        <v>0</v>
      </c>
      <c r="N231" s="2">
        <f>IF(Table2[[#This Row],[First Bloods]] = MAX(H$222:H$231), 10, 0)</f>
        <v>0</v>
      </c>
      <c r="O231" s="2">
        <f>IF(Table2[[#This Row],[Plants]] = MAX(I$222:I$231), 10, 0)</f>
        <v>0</v>
      </c>
      <c r="P231" s="2">
        <f>IF(Table2[[#This Row],[Defuses]] = MAX(J$222:J$231), 10, 0)</f>
        <v>0</v>
      </c>
    </row>
    <row r="232" spans="1:16" x14ac:dyDescent="0.2">
      <c r="A232" s="4" t="s">
        <v>73</v>
      </c>
      <c r="B232" t="s">
        <v>37</v>
      </c>
      <c r="C232">
        <v>368</v>
      </c>
      <c r="D232">
        <v>29</v>
      </c>
      <c r="E232">
        <v>14</v>
      </c>
      <c r="F232">
        <v>4</v>
      </c>
      <c r="G232">
        <v>97</v>
      </c>
      <c r="H232">
        <v>1</v>
      </c>
      <c r="I232">
        <v>2</v>
      </c>
      <c r="J232">
        <v>3</v>
      </c>
      <c r="K232">
        <v>0</v>
      </c>
      <c r="L232">
        <f>IF(Table2[[#This Row],[Death]] = MIN(E$232:E$241), 10, 0)</f>
        <v>0</v>
      </c>
      <c r="M232">
        <f>IF(Table2[[#This Row],[Assist]] = MAX(F$232:F$241), 10, 0)</f>
        <v>0</v>
      </c>
      <c r="N232">
        <f>IF(Table2[[#This Row],[First Bloods]] = MAX(H$232:H$241), 10, 0)</f>
        <v>0</v>
      </c>
      <c r="O232">
        <f>IF(Table2[[#This Row],[Plants]] = MAX(I$232:I$241), 10, 0)</f>
        <v>0</v>
      </c>
      <c r="P232">
        <f>IF(Table2[[#This Row],[Defuses]] = MAX(J$232:J$241), 10, 0)</f>
        <v>10</v>
      </c>
    </row>
    <row r="233" spans="1:16" x14ac:dyDescent="0.2">
      <c r="A233" s="4" t="s">
        <v>73</v>
      </c>
      <c r="B233" t="s">
        <v>98</v>
      </c>
      <c r="C233">
        <v>315</v>
      </c>
      <c r="D233">
        <v>24</v>
      </c>
      <c r="E233">
        <v>13</v>
      </c>
      <c r="F233">
        <v>7</v>
      </c>
      <c r="G233">
        <v>100</v>
      </c>
      <c r="H233">
        <v>4</v>
      </c>
      <c r="I233">
        <v>0</v>
      </c>
      <c r="J233">
        <v>0</v>
      </c>
      <c r="K233">
        <v>50</v>
      </c>
      <c r="L233">
        <f>IF(Table2[[#This Row],[Death]] = MIN(E$232:E$241), 10, 0)</f>
        <v>10</v>
      </c>
      <c r="M233">
        <f>IF(Table2[[#This Row],[Assist]] = MAX(F$232:F$241), 10, 0)</f>
        <v>0</v>
      </c>
      <c r="N233">
        <f>IF(Table2[[#This Row],[First Bloods]] = MAX(H$232:H$241), 10, 0)</f>
        <v>0</v>
      </c>
      <c r="O233">
        <f>IF(Table2[[#This Row],[Plants]] = MAX(I$232:I$241), 10, 0)</f>
        <v>0</v>
      </c>
      <c r="P233">
        <f>IF(Table2[[#This Row],[Defuses]] = MAX(J$232:J$241), 10, 0)</f>
        <v>0</v>
      </c>
    </row>
    <row r="234" spans="1:16" x14ac:dyDescent="0.2">
      <c r="A234" s="4" t="s">
        <v>73</v>
      </c>
      <c r="B234" t="s">
        <v>16</v>
      </c>
      <c r="C234">
        <v>272</v>
      </c>
      <c r="D234">
        <v>22</v>
      </c>
      <c r="E234">
        <v>16</v>
      </c>
      <c r="F234">
        <v>2</v>
      </c>
      <c r="G234">
        <v>87</v>
      </c>
      <c r="H234">
        <v>1</v>
      </c>
      <c r="I234">
        <v>1</v>
      </c>
      <c r="J234">
        <v>0</v>
      </c>
      <c r="K234">
        <v>50</v>
      </c>
      <c r="L234">
        <f>IF(Table2[[#This Row],[Death]] = MIN(E$232:E$241), 10, 0)</f>
        <v>0</v>
      </c>
      <c r="M234">
        <f>IF(Table2[[#This Row],[Assist]] = MAX(F$232:F$241), 10, 0)</f>
        <v>0</v>
      </c>
      <c r="N234">
        <f>IF(Table2[[#This Row],[First Bloods]] = MAX(H$232:H$241), 10, 0)</f>
        <v>0</v>
      </c>
      <c r="O234">
        <f>IF(Table2[[#This Row],[Plants]] = MAX(I$232:I$241), 10, 0)</f>
        <v>0</v>
      </c>
      <c r="P234">
        <f>IF(Table2[[#This Row],[Defuses]] = MAX(J$232:J$241), 10, 0)</f>
        <v>0</v>
      </c>
    </row>
    <row r="235" spans="1:16" x14ac:dyDescent="0.2">
      <c r="A235" s="4" t="s">
        <v>73</v>
      </c>
      <c r="B235" t="s">
        <v>99</v>
      </c>
      <c r="C235">
        <v>254</v>
      </c>
      <c r="D235">
        <v>17</v>
      </c>
      <c r="E235">
        <v>21</v>
      </c>
      <c r="F235">
        <v>5</v>
      </c>
      <c r="G235">
        <v>58</v>
      </c>
      <c r="H235">
        <v>8</v>
      </c>
      <c r="I235">
        <v>1</v>
      </c>
      <c r="J235">
        <v>0</v>
      </c>
      <c r="K235">
        <v>0</v>
      </c>
      <c r="L235">
        <f>IF(Table2[[#This Row],[Death]] = MIN(E$232:E$241), 10, 0)</f>
        <v>0</v>
      </c>
      <c r="M235">
        <f>IF(Table2[[#This Row],[Assist]] = MAX(F$232:F$241), 10, 0)</f>
        <v>0</v>
      </c>
      <c r="N235">
        <f>IF(Table2[[#This Row],[First Bloods]] = MAX(H$232:H$241), 10, 0)</f>
        <v>10</v>
      </c>
      <c r="O235">
        <f>IF(Table2[[#This Row],[Plants]] = MAX(I$232:I$241), 10, 0)</f>
        <v>0</v>
      </c>
      <c r="P235">
        <f>IF(Table2[[#This Row],[Defuses]] = MAX(J$232:J$241), 10, 0)</f>
        <v>0</v>
      </c>
    </row>
    <row r="236" spans="1:16" x14ac:dyDescent="0.2">
      <c r="A236" s="4" t="s">
        <v>73</v>
      </c>
      <c r="B236" t="s">
        <v>100</v>
      </c>
      <c r="C236">
        <v>214</v>
      </c>
      <c r="D236">
        <v>17</v>
      </c>
      <c r="E236">
        <v>16</v>
      </c>
      <c r="F236">
        <v>12</v>
      </c>
      <c r="G236">
        <v>47</v>
      </c>
      <c r="H236">
        <v>3</v>
      </c>
      <c r="I236">
        <v>3</v>
      </c>
      <c r="J236">
        <v>2</v>
      </c>
      <c r="K236">
        <v>50</v>
      </c>
      <c r="L236">
        <f>IF(Table2[[#This Row],[Death]] = MAX(E$232:E$241), 10, 0)</f>
        <v>0</v>
      </c>
      <c r="M236">
        <f>IF(Table2[[#This Row],[Assist]] = MAX(F$232:F$241), 10, 0)</f>
        <v>10</v>
      </c>
      <c r="N236">
        <f>IF(Table2[[#This Row],[First Bloods]] = MAX(H$232:H$241), 10, 0)</f>
        <v>0</v>
      </c>
      <c r="O236">
        <f>IF(Table2[[#This Row],[Plants]] = MAX(I$232:I$241), 10, 0)</f>
        <v>0</v>
      </c>
      <c r="P236">
        <f>IF(Table2[[#This Row],[Defuses]] = MAX(J$232:J$241), 10, 0)</f>
        <v>0</v>
      </c>
    </row>
    <row r="237" spans="1:16" x14ac:dyDescent="0.2">
      <c r="A237" s="4" t="s">
        <v>73</v>
      </c>
      <c r="B237" t="s">
        <v>17</v>
      </c>
      <c r="C237">
        <v>208</v>
      </c>
      <c r="D237">
        <v>14</v>
      </c>
      <c r="E237">
        <v>20</v>
      </c>
      <c r="F237">
        <v>11</v>
      </c>
      <c r="G237">
        <v>50</v>
      </c>
      <c r="H237">
        <v>3</v>
      </c>
      <c r="I237">
        <v>3</v>
      </c>
      <c r="J237">
        <v>1</v>
      </c>
      <c r="K237">
        <v>50</v>
      </c>
      <c r="L237">
        <f>IF(Table2[[#This Row],[Death]] = MAX(E$232:E$241), 10, 0)</f>
        <v>0</v>
      </c>
      <c r="M237">
        <f>IF(Table2[[#This Row],[Assist]] = MAX(F$232:F$241), 10, 0)</f>
        <v>0</v>
      </c>
      <c r="N237">
        <f>IF(Table2[[#This Row],[First Bloods]] = MAX(H$232:H$241), 10, 0)</f>
        <v>0</v>
      </c>
      <c r="O237">
        <f>IF(Table2[[#This Row],[Plants]] = MAX(I$232:I$241), 10, 0)</f>
        <v>0</v>
      </c>
      <c r="P237">
        <f>IF(Table2[[#This Row],[Defuses]] = MAX(J$232:J$241), 10, 0)</f>
        <v>0</v>
      </c>
    </row>
    <row r="238" spans="1:16" x14ac:dyDescent="0.2">
      <c r="A238" s="4" t="s">
        <v>73</v>
      </c>
      <c r="B238" t="s">
        <v>60</v>
      </c>
      <c r="C238">
        <v>198</v>
      </c>
      <c r="D238">
        <v>14</v>
      </c>
      <c r="E238">
        <v>16</v>
      </c>
      <c r="F238">
        <v>4</v>
      </c>
      <c r="G238">
        <v>46</v>
      </c>
      <c r="H238">
        <v>1</v>
      </c>
      <c r="I238">
        <v>0</v>
      </c>
      <c r="J238">
        <v>0</v>
      </c>
      <c r="K238">
        <v>0</v>
      </c>
      <c r="L238">
        <f>IF(Table2[[#This Row],[Death]] = MAX(E$232:E$241), 10, 0)</f>
        <v>0</v>
      </c>
      <c r="M238">
        <f>IF(Table2[[#This Row],[Assist]] = MAX(F$232:F$241), 10, 0)</f>
        <v>0</v>
      </c>
      <c r="N238">
        <f>IF(Table2[[#This Row],[First Bloods]] = MAX(H$232:H$241), 10, 0)</f>
        <v>0</v>
      </c>
      <c r="O238">
        <f>IF(Table2[[#This Row],[Plants]] = MAX(I$232:I$241), 10, 0)</f>
        <v>0</v>
      </c>
      <c r="P238">
        <f>IF(Table2[[#This Row],[Defuses]] = MAX(J$232:J$241), 10, 0)</f>
        <v>0</v>
      </c>
    </row>
    <row r="239" spans="1:16" x14ac:dyDescent="0.2">
      <c r="A239" s="4" t="s">
        <v>73</v>
      </c>
      <c r="B239" t="s">
        <v>96</v>
      </c>
      <c r="C239">
        <v>134</v>
      </c>
      <c r="D239">
        <v>10</v>
      </c>
      <c r="E239">
        <v>19</v>
      </c>
      <c r="F239">
        <v>10</v>
      </c>
      <c r="G239">
        <v>39</v>
      </c>
      <c r="H239">
        <v>0</v>
      </c>
      <c r="I239">
        <v>5</v>
      </c>
      <c r="J239">
        <v>1</v>
      </c>
      <c r="K239">
        <v>0</v>
      </c>
      <c r="L239">
        <f>IF(Table2[[#This Row],[Death]] = MAX(E$232:E$241), 10, 0)</f>
        <v>0</v>
      </c>
      <c r="M239">
        <f>IF(Table2[[#This Row],[Assist]] = MAX(F$232:F$241), 10, 0)</f>
        <v>0</v>
      </c>
      <c r="N239">
        <f>IF(Table2[[#This Row],[First Bloods]] = MAX(H$232:H$241), 10, 0)</f>
        <v>0</v>
      </c>
      <c r="O239">
        <f>IF(Table2[[#This Row],[Plants]] = MAX(I$232:I$241), 10, 0)</f>
        <v>10</v>
      </c>
      <c r="P239">
        <f>IF(Table2[[#This Row],[Defuses]] = MAX(J$232:J$241), 10, 0)</f>
        <v>0</v>
      </c>
    </row>
    <row r="240" spans="1:16" x14ac:dyDescent="0.2">
      <c r="A240" s="4" t="s">
        <v>73</v>
      </c>
      <c r="B240" t="s">
        <v>56</v>
      </c>
      <c r="C240">
        <v>110</v>
      </c>
      <c r="D240">
        <v>9</v>
      </c>
      <c r="E240">
        <v>16</v>
      </c>
      <c r="F240">
        <v>2</v>
      </c>
      <c r="G240">
        <v>30</v>
      </c>
      <c r="H240">
        <v>1</v>
      </c>
      <c r="I240">
        <v>1</v>
      </c>
      <c r="J240">
        <v>0</v>
      </c>
      <c r="K240">
        <v>0</v>
      </c>
      <c r="L240">
        <f>IF(Table2[[#This Row],[Death]] = MAX(E$232:E$241), 10, 0)</f>
        <v>0</v>
      </c>
      <c r="M240">
        <f>IF(Table2[[#This Row],[Assist]] = MAX(F$232:F$241), 10, 0)</f>
        <v>0</v>
      </c>
      <c r="N240">
        <f>IF(Table2[[#This Row],[First Bloods]] = MAX(H$232:H$241), 10, 0)</f>
        <v>0</v>
      </c>
      <c r="O240">
        <f>IF(Table2[[#This Row],[Plants]] = MAX(I$232:I$241), 10, 0)</f>
        <v>0</v>
      </c>
      <c r="P240">
        <f>IF(Table2[[#This Row],[Defuses]] = MAX(J$232:J$241), 10, 0)</f>
        <v>0</v>
      </c>
    </row>
    <row r="241" spans="1:16" x14ac:dyDescent="0.2">
      <c r="A241" s="4" t="s">
        <v>73</v>
      </c>
      <c r="B241" t="s">
        <v>55</v>
      </c>
      <c r="C241">
        <v>107</v>
      </c>
      <c r="D241">
        <v>9</v>
      </c>
      <c r="E241">
        <v>14</v>
      </c>
      <c r="F241">
        <v>2</v>
      </c>
      <c r="G241">
        <v>33</v>
      </c>
      <c r="H241">
        <v>0</v>
      </c>
      <c r="I241">
        <v>4</v>
      </c>
      <c r="J241">
        <v>2</v>
      </c>
      <c r="K241">
        <v>0</v>
      </c>
      <c r="L241">
        <f>IF(Table2[[#This Row],[Death]] = MIN(E$232:E$241), 10, 0)</f>
        <v>0</v>
      </c>
      <c r="M241" s="2">
        <f>IF(Table2[[#This Row],[Assist]] = MAX(F$232:F$241), 10, 0)</f>
        <v>0</v>
      </c>
      <c r="N241" s="2">
        <f>IF(Table2[[#This Row],[First Bloods]] = MAX(H$232:H$241), 10, 0)</f>
        <v>0</v>
      </c>
      <c r="O241" s="2">
        <f>IF(Table2[[#This Row],[Plants]] = MAX(I$232:I$241), 10, 0)</f>
        <v>0</v>
      </c>
      <c r="P241" s="2">
        <f>IF(Table2[[#This Row],[Defuses]] = MAX(J$232:J$241), 10, 0)</f>
        <v>0</v>
      </c>
    </row>
  </sheetData>
  <phoneticPr fontId="3" type="noConversion"/>
  <dataValidations count="1">
    <dataValidation type="list" allowBlank="1" showInputMessage="1" showErrorMessage="1" sqref="B2:B241" xr:uid="{E30D1942-F4E6-4EF7-B9BC-FC8AB6C22B57}">
      <formula1>Players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3E2D-4683-4CF5-AED4-93088F48F827}">
  <dimension ref="A1:O31"/>
  <sheetViews>
    <sheetView workbookViewId="0">
      <selection activeCell="H37" sqref="H37"/>
    </sheetView>
  </sheetViews>
  <sheetFormatPr baseColWidth="10" defaultColWidth="8.83203125" defaultRowHeight="15" x14ac:dyDescent="0.2"/>
  <cols>
    <col min="1" max="1" width="17.6640625" bestFit="1" customWidth="1"/>
    <col min="2" max="2" width="10.33203125" bestFit="1" customWidth="1"/>
    <col min="3" max="3" width="22.5" bestFit="1" customWidth="1"/>
    <col min="7" max="7" width="11.83203125" bestFit="1" customWidth="1"/>
    <col min="8" max="8" width="15.83203125" bestFit="1" customWidth="1"/>
    <col min="9" max="9" width="7.5" bestFit="1" customWidth="1"/>
    <col min="10" max="10" width="17.6640625" bestFit="1" customWidth="1"/>
    <col min="11" max="11" width="15.83203125" bestFit="1" customWidth="1"/>
    <col min="12" max="12" width="7.5" bestFit="1" customWidth="1"/>
  </cols>
  <sheetData>
    <row r="1" spans="1:15" x14ac:dyDescent="0.2">
      <c r="A1" t="s">
        <v>10</v>
      </c>
      <c r="B1" t="s">
        <v>44</v>
      </c>
      <c r="C1" t="s">
        <v>64</v>
      </c>
      <c r="D1" t="s">
        <v>44</v>
      </c>
      <c r="E1" t="s">
        <v>47</v>
      </c>
      <c r="G1" t="s">
        <v>48</v>
      </c>
      <c r="H1" t="s">
        <v>78</v>
      </c>
      <c r="I1" t="s">
        <v>50</v>
      </c>
      <c r="J1" t="s">
        <v>49</v>
      </c>
      <c r="K1" t="s">
        <v>79</v>
      </c>
      <c r="L1" t="s">
        <v>51</v>
      </c>
    </row>
    <row r="2" spans="1:15" x14ac:dyDescent="0.2">
      <c r="A2" t="s">
        <v>1</v>
      </c>
      <c r="B2" t="s">
        <v>39</v>
      </c>
      <c r="C2" t="s">
        <v>102</v>
      </c>
      <c r="D2" t="s">
        <v>38</v>
      </c>
      <c r="E2">
        <v>8</v>
      </c>
      <c r="G2" s="8" t="s">
        <v>21</v>
      </c>
      <c r="H2" t="str">
        <f>_xlfn.XLOOKUP(G2,Players,PeakRank)</f>
        <v>Immortal</v>
      </c>
      <c r="I2">
        <f>_xlfn.XLOOKUP(H2,$D$2:$D$9,$E$2:$E$9)</f>
        <v>8</v>
      </c>
      <c r="J2" s="8" t="s">
        <v>16</v>
      </c>
      <c r="K2" t="str">
        <f>_xlfn.XLOOKUP(J2,Players,PeakRank)</f>
        <v>Platine</v>
      </c>
      <c r="L2">
        <f>_xlfn.XLOOKUP(K2,$D$2:$D$9,$E$2:$E$9)</f>
        <v>5</v>
      </c>
      <c r="O2" s="11"/>
    </row>
    <row r="3" spans="1:15" x14ac:dyDescent="0.2">
      <c r="A3" t="s">
        <v>11</v>
      </c>
      <c r="B3" t="s">
        <v>38</v>
      </c>
      <c r="D3" t="s">
        <v>42</v>
      </c>
      <c r="E3">
        <v>7</v>
      </c>
      <c r="G3" s="8" t="s">
        <v>37</v>
      </c>
      <c r="H3" t="str">
        <f>_xlfn.XLOOKUP(G3,Players,PeakRank)</f>
        <v>Immortal</v>
      </c>
      <c r="I3">
        <f t="shared" ref="I3:I6" si="0">_xlfn.XLOOKUP(H3,$D$2:$D$9,$E$2:$E$9)</f>
        <v>8</v>
      </c>
      <c r="J3" s="8" t="s">
        <v>98</v>
      </c>
      <c r="K3" t="str">
        <f>_xlfn.XLOOKUP(J3,Players,PeakRank)</f>
        <v>Ascendant</v>
      </c>
      <c r="L3">
        <f t="shared" ref="L3:L6" si="1">_xlfn.XLOOKUP(K3,$D$2:$D$9,$E$2:$E$9)</f>
        <v>7</v>
      </c>
    </row>
    <row r="4" spans="1:15" x14ac:dyDescent="0.2">
      <c r="A4" t="s">
        <v>12</v>
      </c>
      <c r="B4" t="s">
        <v>43</v>
      </c>
      <c r="D4" t="s">
        <v>39</v>
      </c>
      <c r="E4">
        <v>6</v>
      </c>
      <c r="G4" s="8" t="s">
        <v>56</v>
      </c>
      <c r="H4" t="str">
        <f>_xlfn.XLOOKUP(G4,Players,PeakRank)</f>
        <v>Silver</v>
      </c>
      <c r="I4">
        <f t="shared" si="0"/>
        <v>3</v>
      </c>
      <c r="J4" s="8" t="s">
        <v>1</v>
      </c>
      <c r="K4" t="str">
        <f>_xlfn.XLOOKUP(J4,Players,PeakRank)</f>
        <v>Diamant</v>
      </c>
      <c r="L4">
        <f>_xlfn.XLOOKUP(K4,$D$2:$D$9,$E$2:$E$9)</f>
        <v>6</v>
      </c>
    </row>
    <row r="5" spans="1:15" x14ac:dyDescent="0.2">
      <c r="A5" t="s">
        <v>13</v>
      </c>
      <c r="B5" t="s">
        <v>42</v>
      </c>
      <c r="D5" t="s">
        <v>43</v>
      </c>
      <c r="E5">
        <v>5</v>
      </c>
      <c r="G5" s="8" t="s">
        <v>60</v>
      </c>
      <c r="H5" t="str">
        <f>_xlfn.XLOOKUP(G5,Players,PeakRank)</f>
        <v>Immortal</v>
      </c>
      <c r="I5">
        <f t="shared" si="0"/>
        <v>8</v>
      </c>
      <c r="J5" s="8" t="s">
        <v>13</v>
      </c>
      <c r="K5" t="str">
        <f>_xlfn.XLOOKUP(J5,Players,PeakRank)</f>
        <v>Ascendant</v>
      </c>
      <c r="L5">
        <f t="shared" si="1"/>
        <v>7</v>
      </c>
    </row>
    <row r="6" spans="1:15" x14ac:dyDescent="0.2">
      <c r="A6" t="s">
        <v>14</v>
      </c>
      <c r="B6" t="s">
        <v>39</v>
      </c>
      <c r="D6" t="s">
        <v>40</v>
      </c>
      <c r="E6">
        <v>4</v>
      </c>
      <c r="G6" s="8" t="s">
        <v>55</v>
      </c>
      <c r="H6" t="str">
        <f>_xlfn.XLOOKUP(G6,Players,PeakRank)</f>
        <v>Platine</v>
      </c>
      <c r="I6">
        <f t="shared" si="0"/>
        <v>5</v>
      </c>
      <c r="J6" s="8" t="s">
        <v>23</v>
      </c>
      <c r="K6" t="str">
        <f>_xlfn.XLOOKUP(J6,Players,PeakRank)</f>
        <v>Diamant</v>
      </c>
      <c r="L6">
        <f t="shared" si="1"/>
        <v>6</v>
      </c>
    </row>
    <row r="7" spans="1:15" x14ac:dyDescent="0.2">
      <c r="A7" t="s">
        <v>55</v>
      </c>
      <c r="B7" t="s">
        <v>43</v>
      </c>
      <c r="C7" t="s">
        <v>57</v>
      </c>
      <c r="D7" t="s">
        <v>45</v>
      </c>
      <c r="E7">
        <v>3</v>
      </c>
      <c r="G7" t="s">
        <v>28</v>
      </c>
      <c r="I7">
        <f>SUM(I2:I6)</f>
        <v>32</v>
      </c>
      <c r="L7">
        <f>SUM(L2:L6)</f>
        <v>31</v>
      </c>
    </row>
    <row r="8" spans="1:15" x14ac:dyDescent="0.2">
      <c r="A8" t="s">
        <v>16</v>
      </c>
      <c r="B8" t="s">
        <v>43</v>
      </c>
      <c r="D8" t="s">
        <v>41</v>
      </c>
      <c r="E8">
        <v>2</v>
      </c>
    </row>
    <row r="9" spans="1:15" x14ac:dyDescent="0.2">
      <c r="A9" t="s">
        <v>17</v>
      </c>
      <c r="B9" t="s">
        <v>43</v>
      </c>
      <c r="D9" t="s">
        <v>46</v>
      </c>
      <c r="E9">
        <v>1</v>
      </c>
    </row>
    <row r="10" spans="1:15" x14ac:dyDescent="0.2">
      <c r="A10" t="s">
        <v>18</v>
      </c>
      <c r="B10" t="s">
        <v>43</v>
      </c>
      <c r="C10" t="s">
        <v>53</v>
      </c>
    </row>
    <row r="11" spans="1:15" x14ac:dyDescent="0.2">
      <c r="A11" t="s">
        <v>19</v>
      </c>
      <c r="B11" t="s">
        <v>46</v>
      </c>
    </row>
    <row r="12" spans="1:15" x14ac:dyDescent="0.2">
      <c r="A12" t="s">
        <v>21</v>
      </c>
      <c r="B12" t="s">
        <v>38</v>
      </c>
    </row>
    <row r="13" spans="1:15" x14ac:dyDescent="0.2">
      <c r="A13" t="s">
        <v>22</v>
      </c>
      <c r="B13" t="s">
        <v>39</v>
      </c>
    </row>
    <row r="14" spans="1:15" x14ac:dyDescent="0.2">
      <c r="A14" t="s">
        <v>60</v>
      </c>
      <c r="B14" t="s">
        <v>38</v>
      </c>
      <c r="C14" t="s">
        <v>59</v>
      </c>
    </row>
    <row r="15" spans="1:15" x14ac:dyDescent="0.2">
      <c r="A15" t="s">
        <v>23</v>
      </c>
      <c r="B15" t="s">
        <v>39</v>
      </c>
    </row>
    <row r="16" spans="1:15" x14ac:dyDescent="0.2">
      <c r="A16" t="s">
        <v>33</v>
      </c>
      <c r="B16" t="s">
        <v>39</v>
      </c>
    </row>
    <row r="17" spans="1:3" x14ac:dyDescent="0.2">
      <c r="A17" t="s">
        <v>32</v>
      </c>
      <c r="B17" t="s">
        <v>39</v>
      </c>
    </row>
    <row r="18" spans="1:3" x14ac:dyDescent="0.2">
      <c r="A18" t="s">
        <v>37</v>
      </c>
      <c r="B18" t="s">
        <v>38</v>
      </c>
      <c r="C18" t="s">
        <v>63</v>
      </c>
    </row>
    <row r="19" spans="1:3" x14ac:dyDescent="0.2">
      <c r="A19" t="s">
        <v>56</v>
      </c>
      <c r="B19" t="s">
        <v>45</v>
      </c>
      <c r="C19" t="s">
        <v>52</v>
      </c>
    </row>
    <row r="20" spans="1:3" x14ac:dyDescent="0.2">
      <c r="A20" t="s">
        <v>54</v>
      </c>
      <c r="B20" t="s">
        <v>39</v>
      </c>
    </row>
    <row r="21" spans="1:3" x14ac:dyDescent="0.2">
      <c r="A21" t="s">
        <v>61</v>
      </c>
      <c r="B21" t="s">
        <v>42</v>
      </c>
    </row>
    <row r="22" spans="1:3" x14ac:dyDescent="0.2">
      <c r="A22" t="s">
        <v>62</v>
      </c>
      <c r="B22" t="s">
        <v>38</v>
      </c>
    </row>
    <row r="23" spans="1:3" x14ac:dyDescent="0.2">
      <c r="A23" t="s">
        <v>74</v>
      </c>
      <c r="B23" t="s">
        <v>39</v>
      </c>
    </row>
    <row r="24" spans="1:3" x14ac:dyDescent="0.2">
      <c r="A24" t="s">
        <v>75</v>
      </c>
      <c r="B24" t="s">
        <v>39</v>
      </c>
      <c r="C24" t="s">
        <v>77</v>
      </c>
    </row>
    <row r="25" spans="1:3" x14ac:dyDescent="0.2">
      <c r="A25" t="s">
        <v>76</v>
      </c>
      <c r="B25" t="s">
        <v>39</v>
      </c>
    </row>
    <row r="26" spans="1:3" x14ac:dyDescent="0.2">
      <c r="A26" t="s">
        <v>95</v>
      </c>
      <c r="B26" t="s">
        <v>39</v>
      </c>
    </row>
    <row r="27" spans="1:3" x14ac:dyDescent="0.2">
      <c r="A27" t="s">
        <v>96</v>
      </c>
      <c r="B27" t="s">
        <v>39</v>
      </c>
    </row>
    <row r="28" spans="1:3" x14ac:dyDescent="0.2">
      <c r="A28" t="s">
        <v>97</v>
      </c>
      <c r="B28" t="s">
        <v>42</v>
      </c>
    </row>
    <row r="29" spans="1:3" x14ac:dyDescent="0.2">
      <c r="A29" t="s">
        <v>98</v>
      </c>
      <c r="B29" t="s">
        <v>42</v>
      </c>
    </row>
    <row r="30" spans="1:3" x14ac:dyDescent="0.2">
      <c r="A30" t="s">
        <v>99</v>
      </c>
      <c r="B30" t="s">
        <v>43</v>
      </c>
      <c r="C30" t="s">
        <v>101</v>
      </c>
    </row>
    <row r="31" spans="1:3" x14ac:dyDescent="0.2">
      <c r="A31" t="s">
        <v>100</v>
      </c>
      <c r="B31" t="s">
        <v>42</v>
      </c>
    </row>
  </sheetData>
  <conditionalFormatting sqref="I7">
    <cfRule type="cellIs" dxfId="3" priority="5" operator="notEqual">
      <formula>$L$7</formula>
    </cfRule>
    <cfRule type="cellIs" dxfId="2" priority="6" operator="equal">
      <formula>$L$7</formula>
    </cfRule>
  </conditionalFormatting>
  <conditionalFormatting sqref="L7">
    <cfRule type="cellIs" dxfId="1" priority="1" operator="notEqual">
      <formula>$I$7</formula>
    </cfRule>
    <cfRule type="cellIs" dxfId="0" priority="2" operator="equal">
      <formula>$I$7</formula>
    </cfRule>
  </conditionalFormatting>
  <dataValidations count="1">
    <dataValidation type="list" allowBlank="1" showInputMessage="1" showErrorMessage="1" sqref="G2:G6 J2:J6" xr:uid="{E33D0A08-788A-448C-BC43-77BAA3D83816}">
      <formula1>Players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Leaderboard</vt:lpstr>
      <vt:lpstr>Data</vt:lpstr>
      <vt:lpstr>List</vt:lpstr>
      <vt:lpstr>ACS</vt:lpstr>
      <vt:lpstr>Assists</vt:lpstr>
      <vt:lpstr>BonusAssist</vt:lpstr>
      <vt:lpstr>BonusDeath</vt:lpstr>
      <vt:lpstr>BonusDefuse</vt:lpstr>
      <vt:lpstr>BonusFB</vt:lpstr>
      <vt:lpstr>BonusPlant</vt:lpstr>
      <vt:lpstr>Deaths</vt:lpstr>
      <vt:lpstr>Defuses</vt:lpstr>
      <vt:lpstr>Econ</vt:lpstr>
      <vt:lpstr>FBs</vt:lpstr>
      <vt:lpstr>Games</vt:lpstr>
      <vt:lpstr>Kills</vt:lpstr>
      <vt:lpstr>Leaderboard</vt:lpstr>
      <vt:lpstr>PeakRank</vt:lpstr>
      <vt:lpstr>Plants</vt:lpstr>
      <vt:lpstr>Players</vt:lpstr>
      <vt:lpstr>Playing</vt:lpstr>
      <vt:lpstr>Wins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Houver Sing</dc:creator>
  <cp:lastModifiedBy>Irma Houver Sing</cp:lastModifiedBy>
  <cp:lastPrinted>2026-01-06T19:41:41Z</cp:lastPrinted>
  <dcterms:created xsi:type="dcterms:W3CDTF">2025-11-19T19:02:10Z</dcterms:created>
  <dcterms:modified xsi:type="dcterms:W3CDTF">2026-06-07T16:13:24Z</dcterms:modified>
</cp:coreProperties>
</file>